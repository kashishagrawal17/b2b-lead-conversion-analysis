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b62daa517ec483f/Mine/NimbusPost Assignment/"/>
    </mc:Choice>
  </mc:AlternateContent>
  <xr:revisionPtr revIDLastSave="68" documentId="13_ncr:1_{54BCCE9C-2E93-4059-A5EE-C94176E13AD2}" xr6:coauthVersionLast="47" xr6:coauthVersionMax="47" xr10:uidLastSave="{70B826C3-E8DE-4058-8C52-2CBE6099262A}"/>
  <bookViews>
    <workbookView xWindow="-108" yWindow="-108" windowWidth="23256" windowHeight="12456" firstSheet="3" activeTab="5" xr2:uid="{00000000-000D-0000-FFFF-FFFF00000000}"/>
  </bookViews>
  <sheets>
    <sheet name="Lead_Data" sheetId="2" r:id="rId1"/>
    <sheet name="Team_Legend" sheetId="1" r:id="rId2"/>
    <sheet name="Lead_Timestamps" sheetId="3" r:id="rId3"/>
    <sheet name="Call_Log" sheetId="4" r:id="rId4"/>
    <sheet name="ReadMe" sheetId="7" r:id="rId5"/>
    <sheet name="Task-1 Funnel" sheetId="5" r:id="rId6"/>
    <sheet name="Task-2 Segmentation" sheetId="6" r:id="rId7"/>
    <sheet name="Additional Insights" sheetId="8" r:id="rId8"/>
    <sheet name="Executive Summary" sheetId="9" r:id="rId9"/>
  </sheets>
  <definedNames>
    <definedName name="_xlnm._FilterDatabase" localSheetId="3" hidden="1">Call_Log!$A$1:$G$101</definedName>
    <definedName name="_xlnm._FilterDatabase" localSheetId="0" hidden="1">Lead_Data!$A$1:$J$101</definedName>
    <definedName name="_xlnm._FilterDatabase" localSheetId="2" hidden="1">Lead_Timestamps!$A$1:$J$101</definedName>
    <definedName name="_xlnm._FilterDatabase" localSheetId="1" hidden="1">Team_Legend!$A$1:$C$1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9" l="1"/>
  <c r="G5" i="9"/>
  <c r="D5" i="9"/>
  <c r="A5" i="9"/>
  <c r="B25" i="8"/>
  <c r="C25" i="8" s="1"/>
  <c r="B24" i="8"/>
  <c r="C24" i="8" s="1"/>
  <c r="B23" i="8"/>
  <c r="C23" i="8" s="1"/>
  <c r="C19" i="8"/>
  <c r="C20" i="8"/>
  <c r="C18" i="8"/>
  <c r="I7" i="8"/>
  <c r="I8" i="8"/>
  <c r="I9" i="8"/>
  <c r="I6" i="8"/>
  <c r="K3" i="3" a="1"/>
  <c r="K3" i="3" s="1"/>
  <c r="K4" i="3" a="1"/>
  <c r="K4" i="3"/>
  <c r="K5" i="3" a="1"/>
  <c r="K5" i="3" s="1"/>
  <c r="K6" i="3" a="1"/>
  <c r="K6" i="3"/>
  <c r="K7" i="3" a="1"/>
  <c r="K7" i="3" s="1"/>
  <c r="K8" i="3" a="1"/>
  <c r="K8" i="3"/>
  <c r="K9" i="3" a="1"/>
  <c r="K9" i="3" s="1"/>
  <c r="K10" i="3" a="1"/>
  <c r="K10" i="3"/>
  <c r="K11" i="3" a="1"/>
  <c r="K11" i="3" s="1"/>
  <c r="K12" i="3" a="1"/>
  <c r="K12" i="3"/>
  <c r="K13" i="3" a="1"/>
  <c r="K13" i="3" s="1"/>
  <c r="K14" i="3" a="1"/>
  <c r="K14" i="3"/>
  <c r="K15" i="3" a="1"/>
  <c r="K15" i="3" s="1"/>
  <c r="K16" i="3" a="1"/>
  <c r="K16" i="3"/>
  <c r="K17" i="3" a="1"/>
  <c r="K17" i="3" s="1"/>
  <c r="K18" i="3" a="1"/>
  <c r="K18" i="3"/>
  <c r="K19" i="3" a="1"/>
  <c r="K19" i="3" s="1"/>
  <c r="K20" i="3" a="1"/>
  <c r="K20" i="3"/>
  <c r="K21" i="3" a="1"/>
  <c r="K21" i="3" s="1"/>
  <c r="K22" i="3" a="1"/>
  <c r="K22" i="3"/>
  <c r="K23" i="3" a="1"/>
  <c r="K23" i="3" s="1"/>
  <c r="K24" i="3" a="1"/>
  <c r="K24" i="3"/>
  <c r="K25" i="3" a="1"/>
  <c r="K25" i="3" s="1"/>
  <c r="K26" i="3" a="1"/>
  <c r="K26" i="3"/>
  <c r="K27" i="3" a="1"/>
  <c r="K27" i="3" s="1"/>
  <c r="K28" i="3" a="1"/>
  <c r="K28" i="3"/>
  <c r="K29" i="3" a="1"/>
  <c r="K29" i="3" s="1"/>
  <c r="K30" i="3" a="1"/>
  <c r="K30" i="3"/>
  <c r="K31" i="3" a="1"/>
  <c r="K31" i="3" s="1"/>
  <c r="K32" i="3" a="1"/>
  <c r="K32" i="3"/>
  <c r="K33" i="3" a="1"/>
  <c r="K33" i="3" s="1"/>
  <c r="K34" i="3" a="1"/>
  <c r="K34" i="3"/>
  <c r="K35" i="3" a="1"/>
  <c r="K35" i="3" s="1"/>
  <c r="K36" i="3" a="1"/>
  <c r="K36" i="3"/>
  <c r="K37" i="3" a="1"/>
  <c r="K37" i="3" s="1"/>
  <c r="K38" i="3" a="1"/>
  <c r="K38" i="3"/>
  <c r="K39" i="3" a="1"/>
  <c r="K39" i="3" s="1"/>
  <c r="K40" i="3" a="1"/>
  <c r="K40" i="3"/>
  <c r="K41" i="3" a="1"/>
  <c r="K41" i="3" s="1"/>
  <c r="K42" i="3" a="1"/>
  <c r="K42" i="3"/>
  <c r="K43" i="3" a="1"/>
  <c r="K43" i="3" s="1"/>
  <c r="K44" i="3" a="1"/>
  <c r="K44" i="3"/>
  <c r="K45" i="3" a="1"/>
  <c r="K45" i="3" s="1"/>
  <c r="K46" i="3" a="1"/>
  <c r="K46" i="3"/>
  <c r="K47" i="3" a="1"/>
  <c r="K47" i="3" s="1"/>
  <c r="K48" i="3" a="1"/>
  <c r="K48" i="3"/>
  <c r="K49" i="3" a="1"/>
  <c r="K49" i="3" s="1"/>
  <c r="K50" i="3" a="1"/>
  <c r="K50" i="3"/>
  <c r="K51" i="3" a="1"/>
  <c r="K51" i="3" s="1"/>
  <c r="K52" i="3" a="1"/>
  <c r="K52" i="3"/>
  <c r="K53" i="3" a="1"/>
  <c r="K53" i="3" s="1"/>
  <c r="K54" i="3" a="1"/>
  <c r="K54" i="3"/>
  <c r="K55" i="3" a="1"/>
  <c r="K55" i="3" s="1"/>
  <c r="K56" i="3" a="1"/>
  <c r="K56" i="3"/>
  <c r="K57" i="3" a="1"/>
  <c r="K57" i="3" s="1"/>
  <c r="K58" i="3" a="1"/>
  <c r="K58" i="3"/>
  <c r="K59" i="3" a="1"/>
  <c r="K59" i="3" s="1"/>
  <c r="K60" i="3" a="1"/>
  <c r="K60" i="3"/>
  <c r="K61" i="3" a="1"/>
  <c r="K61" i="3" s="1"/>
  <c r="K62" i="3" a="1"/>
  <c r="K62" i="3"/>
  <c r="K63" i="3" a="1"/>
  <c r="K63" i="3" s="1"/>
  <c r="K64" i="3" a="1"/>
  <c r="K64" i="3"/>
  <c r="K65" i="3" a="1"/>
  <c r="K65" i="3" s="1"/>
  <c r="K66" i="3" a="1"/>
  <c r="K66" i="3"/>
  <c r="K67" i="3" a="1"/>
  <c r="K67" i="3" s="1"/>
  <c r="K68" i="3" a="1"/>
  <c r="K68" i="3"/>
  <c r="K69" i="3" a="1"/>
  <c r="K69" i="3" s="1"/>
  <c r="K70" i="3" a="1"/>
  <c r="K70" i="3"/>
  <c r="K71" i="3" a="1"/>
  <c r="K71" i="3" s="1"/>
  <c r="K72" i="3" a="1"/>
  <c r="K72" i="3"/>
  <c r="K73" i="3" a="1"/>
  <c r="K73" i="3" s="1"/>
  <c r="K74" i="3" a="1"/>
  <c r="K74" i="3"/>
  <c r="K75" i="3" a="1"/>
  <c r="K75" i="3" s="1"/>
  <c r="K76" i="3" a="1"/>
  <c r="K76" i="3"/>
  <c r="K77" i="3" a="1"/>
  <c r="K77" i="3" s="1"/>
  <c r="K78" i="3" a="1"/>
  <c r="K78" i="3"/>
  <c r="K79" i="3" a="1"/>
  <c r="K79" i="3" s="1"/>
  <c r="K80" i="3" a="1"/>
  <c r="K80" i="3"/>
  <c r="K81" i="3" a="1"/>
  <c r="K81" i="3" s="1"/>
  <c r="K82" i="3" a="1"/>
  <c r="K82" i="3"/>
  <c r="K83" i="3" a="1"/>
  <c r="K83" i="3" s="1"/>
  <c r="K84" i="3" a="1"/>
  <c r="K84" i="3"/>
  <c r="K85" i="3" a="1"/>
  <c r="K85" i="3" s="1"/>
  <c r="K86" i="3" a="1"/>
  <c r="K86" i="3"/>
  <c r="K87" i="3" a="1"/>
  <c r="K87" i="3" s="1"/>
  <c r="K88" i="3" a="1"/>
  <c r="K88" i="3"/>
  <c r="K89" i="3" a="1"/>
  <c r="K89" i="3" s="1"/>
  <c r="K90" i="3" a="1"/>
  <c r="K90" i="3"/>
  <c r="K91" i="3" a="1"/>
  <c r="K91" i="3" s="1"/>
  <c r="K92" i="3" a="1"/>
  <c r="K92" i="3"/>
  <c r="K93" i="3" a="1"/>
  <c r="K93" i="3" s="1"/>
  <c r="K94" i="3" a="1"/>
  <c r="K94" i="3"/>
  <c r="K95" i="3" a="1"/>
  <c r="K95" i="3" s="1"/>
  <c r="K96" i="3" a="1"/>
  <c r="K96" i="3"/>
  <c r="K97" i="3" a="1"/>
  <c r="K97" i="3" s="1"/>
  <c r="K98" i="3" a="1"/>
  <c r="K98" i="3"/>
  <c r="K99" i="3" a="1"/>
  <c r="K99" i="3" s="1"/>
  <c r="K100" i="3" a="1"/>
  <c r="K100" i="3"/>
  <c r="K101" i="3" a="1"/>
  <c r="K101" i="3" s="1"/>
  <c r="K2" i="3" a="1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" i="3"/>
  <c r="G7" i="6"/>
  <c r="H7" i="6" s="1"/>
  <c r="G8" i="6"/>
  <c r="H8" i="6" s="1"/>
  <c r="G9" i="6"/>
  <c r="H9" i="6" s="1"/>
  <c r="G10" i="6"/>
  <c r="H10" i="6" s="1"/>
  <c r="G6" i="6"/>
  <c r="H6" i="6" s="1"/>
  <c r="G13" i="6" s="1"/>
  <c r="G32" i="4"/>
  <c r="G33" i="4"/>
  <c r="G85" i="4"/>
  <c r="G3" i="4"/>
  <c r="G4" i="4"/>
  <c r="G5" i="4"/>
  <c r="G6" i="4"/>
  <c r="G7" i="4"/>
  <c r="G8" i="4"/>
  <c r="G9" i="4"/>
  <c r="G34" i="4"/>
  <c r="G35" i="4"/>
  <c r="G36" i="4"/>
  <c r="G37" i="4"/>
  <c r="G38" i="4"/>
  <c r="G39" i="4"/>
  <c r="G40" i="4"/>
  <c r="G64" i="4"/>
  <c r="G65" i="4"/>
  <c r="G66" i="4"/>
  <c r="G86" i="4"/>
  <c r="G87" i="4"/>
  <c r="G88" i="4"/>
  <c r="G10" i="4"/>
  <c r="G11" i="4"/>
  <c r="G12" i="4"/>
  <c r="G13" i="4"/>
  <c r="G14" i="4"/>
  <c r="G41" i="4"/>
  <c r="G42" i="4"/>
  <c r="G43" i="4"/>
  <c r="G44" i="4"/>
  <c r="G45" i="4"/>
  <c r="G67" i="4"/>
  <c r="G68" i="4"/>
  <c r="G69" i="4"/>
  <c r="G70" i="4"/>
  <c r="G71" i="4"/>
  <c r="G72" i="4"/>
  <c r="G89" i="4"/>
  <c r="G90" i="4"/>
  <c r="G46" i="4"/>
  <c r="G47" i="4"/>
  <c r="G48" i="4"/>
  <c r="G49" i="4"/>
  <c r="G73" i="4"/>
  <c r="G74" i="4"/>
  <c r="G75" i="4"/>
  <c r="G76" i="4"/>
  <c r="G91" i="4"/>
  <c r="G92" i="4"/>
  <c r="G15" i="4"/>
  <c r="G16" i="4"/>
  <c r="G17" i="4"/>
  <c r="G18" i="4"/>
  <c r="G19" i="4"/>
  <c r="G20" i="4"/>
  <c r="G21" i="4"/>
  <c r="G22" i="4"/>
  <c r="G23" i="4"/>
  <c r="G24" i="4"/>
  <c r="G25" i="4"/>
  <c r="G50" i="4"/>
  <c r="G51" i="4"/>
  <c r="G52" i="4"/>
  <c r="G53" i="4"/>
  <c r="G54" i="4"/>
  <c r="G55" i="4"/>
  <c r="G77" i="4"/>
  <c r="G78" i="4"/>
  <c r="G79" i="4"/>
  <c r="G93" i="4"/>
  <c r="G94" i="4"/>
  <c r="G95" i="4"/>
  <c r="G96" i="4"/>
  <c r="G97" i="4"/>
  <c r="G26" i="4"/>
  <c r="G27" i="4"/>
  <c r="G28" i="4"/>
  <c r="G29" i="4"/>
  <c r="G56" i="4"/>
  <c r="G57" i="4"/>
  <c r="G58" i="4"/>
  <c r="G59" i="4"/>
  <c r="G60" i="4"/>
  <c r="G80" i="4"/>
  <c r="G81" i="4"/>
  <c r="G82" i="4"/>
  <c r="G98" i="4"/>
  <c r="G99" i="4"/>
  <c r="G100" i="4"/>
  <c r="G30" i="4"/>
  <c r="G31" i="4"/>
  <c r="G61" i="4"/>
  <c r="G62" i="4"/>
  <c r="G63" i="4"/>
  <c r="G83" i="4"/>
  <c r="G84" i="4"/>
  <c r="G101" i="4"/>
  <c r="G2" i="4"/>
  <c r="F32" i="4"/>
  <c r="F33" i="4"/>
  <c r="F85" i="4"/>
  <c r="F3" i="4"/>
  <c r="F4" i="4"/>
  <c r="F5" i="4"/>
  <c r="F6" i="4"/>
  <c r="F7" i="4"/>
  <c r="F8" i="4"/>
  <c r="F9" i="4"/>
  <c r="F34" i="4"/>
  <c r="F35" i="4"/>
  <c r="F36" i="4"/>
  <c r="F37" i="4"/>
  <c r="F38" i="4"/>
  <c r="F39" i="4"/>
  <c r="F40" i="4"/>
  <c r="F64" i="4"/>
  <c r="F65" i="4"/>
  <c r="F66" i="4"/>
  <c r="F86" i="4"/>
  <c r="F87" i="4"/>
  <c r="F88" i="4"/>
  <c r="F10" i="4"/>
  <c r="F11" i="4"/>
  <c r="F12" i="4"/>
  <c r="F13" i="4"/>
  <c r="F14" i="4"/>
  <c r="F41" i="4"/>
  <c r="F42" i="4"/>
  <c r="F43" i="4"/>
  <c r="F44" i="4"/>
  <c r="F45" i="4"/>
  <c r="F67" i="4"/>
  <c r="F68" i="4"/>
  <c r="F69" i="4"/>
  <c r="F70" i="4"/>
  <c r="F71" i="4"/>
  <c r="F72" i="4"/>
  <c r="F89" i="4"/>
  <c r="F90" i="4"/>
  <c r="F46" i="4"/>
  <c r="F47" i="4"/>
  <c r="F48" i="4"/>
  <c r="F49" i="4"/>
  <c r="F73" i="4"/>
  <c r="F74" i="4"/>
  <c r="F75" i="4"/>
  <c r="F76" i="4"/>
  <c r="F91" i="4"/>
  <c r="F92" i="4"/>
  <c r="F15" i="4"/>
  <c r="F16" i="4"/>
  <c r="F17" i="4"/>
  <c r="F18" i="4"/>
  <c r="F19" i="4"/>
  <c r="F20" i="4"/>
  <c r="F21" i="4"/>
  <c r="F22" i="4"/>
  <c r="F23" i="4"/>
  <c r="F24" i="4"/>
  <c r="F25" i="4"/>
  <c r="F50" i="4"/>
  <c r="F51" i="4"/>
  <c r="F52" i="4"/>
  <c r="F53" i="4"/>
  <c r="F54" i="4"/>
  <c r="F55" i="4"/>
  <c r="F77" i="4"/>
  <c r="F78" i="4"/>
  <c r="F79" i="4"/>
  <c r="F93" i="4"/>
  <c r="F94" i="4"/>
  <c r="F95" i="4"/>
  <c r="F96" i="4"/>
  <c r="F97" i="4"/>
  <c r="F26" i="4"/>
  <c r="F27" i="4"/>
  <c r="F28" i="4"/>
  <c r="F29" i="4"/>
  <c r="F56" i="4"/>
  <c r="F57" i="4"/>
  <c r="F58" i="4"/>
  <c r="F59" i="4"/>
  <c r="F60" i="4"/>
  <c r="F80" i="4"/>
  <c r="F81" i="4"/>
  <c r="F82" i="4"/>
  <c r="F98" i="4"/>
  <c r="F99" i="4"/>
  <c r="F100" i="4"/>
  <c r="F30" i="4"/>
  <c r="F31" i="4"/>
  <c r="F61" i="4"/>
  <c r="F62" i="4"/>
  <c r="F63" i="4"/>
  <c r="F83" i="4"/>
  <c r="F84" i="4"/>
  <c r="F101" i="4"/>
  <c r="F2" i="4"/>
  <c r="J9" i="2" l="1"/>
  <c r="J18" i="2"/>
  <c r="J22" i="2"/>
  <c r="J50" i="2"/>
  <c r="J54" i="2"/>
  <c r="J82" i="2"/>
  <c r="J86" i="2"/>
  <c r="H14" i="2"/>
  <c r="J14" i="2" s="1"/>
  <c r="H3" i="2"/>
  <c r="J3" i="2" s="1"/>
  <c r="H4" i="2"/>
  <c r="H5" i="2"/>
  <c r="J5" i="2" s="1"/>
  <c r="H6" i="2"/>
  <c r="J6" i="2" s="1"/>
  <c r="H7" i="2"/>
  <c r="J7" i="2" s="1"/>
  <c r="H8" i="2"/>
  <c r="J8" i="2" s="1"/>
  <c r="H9" i="2"/>
  <c r="H10" i="2"/>
  <c r="J10" i="2" s="1"/>
  <c r="H11" i="2"/>
  <c r="J11" i="2" s="1"/>
  <c r="H12" i="2"/>
  <c r="J12" i="2" s="1"/>
  <c r="H13" i="2"/>
  <c r="J13" i="2" s="1"/>
  <c r="H15" i="2"/>
  <c r="J15" i="2" s="1"/>
  <c r="H16" i="2"/>
  <c r="J16" i="2" s="1"/>
  <c r="H17" i="2"/>
  <c r="J17" i="2" s="1"/>
  <c r="H18" i="2"/>
  <c r="H19" i="2"/>
  <c r="H20" i="2"/>
  <c r="J20" i="2" s="1"/>
  <c r="H21" i="2"/>
  <c r="J21" i="2" s="1"/>
  <c r="H22" i="2"/>
  <c r="H23" i="2"/>
  <c r="J23" i="2" s="1"/>
  <c r="H24" i="2"/>
  <c r="J24" i="2" s="1"/>
  <c r="H25" i="2"/>
  <c r="J25" i="2" s="1"/>
  <c r="H26" i="2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H45" i="2"/>
  <c r="J45" i="2" s="1"/>
  <c r="H46" i="2"/>
  <c r="J46" i="2" s="1"/>
  <c r="H47" i="2"/>
  <c r="J47" i="2" s="1"/>
  <c r="H48" i="2"/>
  <c r="J48" i="2" s="1"/>
  <c r="H49" i="2"/>
  <c r="J49" i="2" s="1"/>
  <c r="H50" i="2"/>
  <c r="H51" i="2"/>
  <c r="J51" i="2" s="1"/>
  <c r="H52" i="2"/>
  <c r="H53" i="2"/>
  <c r="J53" i="2" s="1"/>
  <c r="H54" i="2"/>
  <c r="H55" i="2"/>
  <c r="J55" i="2" s="1"/>
  <c r="H56" i="2"/>
  <c r="J56" i="2" s="1"/>
  <c r="H57" i="2"/>
  <c r="J57" i="2" s="1"/>
  <c r="H58" i="2"/>
  <c r="H59" i="2"/>
  <c r="H60" i="2"/>
  <c r="J60" i="2" s="1"/>
  <c r="H61" i="2"/>
  <c r="J61" i="2" s="1"/>
  <c r="H62" i="2"/>
  <c r="H63" i="2"/>
  <c r="J63" i="2" s="1"/>
  <c r="H64" i="2"/>
  <c r="H65" i="2"/>
  <c r="J65" i="2" s="1"/>
  <c r="H66" i="2"/>
  <c r="J66" i="2" s="1"/>
  <c r="H67" i="2"/>
  <c r="J67" i="2" s="1"/>
  <c r="H68" i="2"/>
  <c r="J68" i="2" s="1"/>
  <c r="H69" i="2"/>
  <c r="J69" i="2" s="1"/>
  <c r="H70" i="2"/>
  <c r="J70" i="2" s="1"/>
  <c r="H71" i="2"/>
  <c r="J71" i="2" s="1"/>
  <c r="H72" i="2"/>
  <c r="J72" i="2" s="1"/>
  <c r="H73" i="2"/>
  <c r="J73" i="2" s="1"/>
  <c r="H74" i="2"/>
  <c r="J74" i="2" s="1"/>
  <c r="H75" i="2"/>
  <c r="J75" i="2" s="1"/>
  <c r="H76" i="2"/>
  <c r="J76" i="2" s="1"/>
  <c r="H77" i="2"/>
  <c r="J77" i="2" s="1"/>
  <c r="H78" i="2"/>
  <c r="H79" i="2"/>
  <c r="J79" i="2" s="1"/>
  <c r="H80" i="2"/>
  <c r="J80" i="2" s="1"/>
  <c r="H81" i="2"/>
  <c r="J81" i="2" s="1"/>
  <c r="H82" i="2"/>
  <c r="H83" i="2"/>
  <c r="J83" i="2" s="1"/>
  <c r="H84" i="2"/>
  <c r="J84" i="2" s="1"/>
  <c r="H85" i="2"/>
  <c r="H86" i="2"/>
  <c r="H87" i="2"/>
  <c r="J87" i="2" s="1"/>
  <c r="H88" i="2"/>
  <c r="J88" i="2" s="1"/>
  <c r="H89" i="2"/>
  <c r="J89" i="2" s="1"/>
  <c r="H90" i="2"/>
  <c r="J90" i="2" s="1"/>
  <c r="H91" i="2"/>
  <c r="J91" i="2" s="1"/>
  <c r="H92" i="2"/>
  <c r="J92" i="2" s="1"/>
  <c r="H93" i="2"/>
  <c r="J93" i="2" s="1"/>
  <c r="H94" i="2"/>
  <c r="J94" i="2" s="1"/>
  <c r="H95" i="2"/>
  <c r="J95" i="2" s="1"/>
  <c r="H96" i="2"/>
  <c r="J96" i="2" s="1"/>
  <c r="H97" i="2"/>
  <c r="H98" i="2"/>
  <c r="J98" i="2" s="1"/>
  <c r="H99" i="2"/>
  <c r="H100" i="2"/>
  <c r="H101" i="2"/>
  <c r="J101" i="2" s="1"/>
  <c r="H2" i="2"/>
  <c r="J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5" i="5"/>
  <c r="J78" i="2" l="1"/>
  <c r="J62" i="2"/>
  <c r="J58" i="2"/>
  <c r="J26" i="2"/>
  <c r="C18" i="6"/>
  <c r="J100" i="2"/>
  <c r="J64" i="2"/>
  <c r="J52" i="2"/>
  <c r="J44" i="2"/>
  <c r="J99" i="2"/>
  <c r="J59" i="2"/>
  <c r="J19" i="2"/>
  <c r="J97" i="2"/>
  <c r="J85" i="2"/>
  <c r="C19" i="6"/>
  <c r="C21" i="6"/>
  <c r="C20" i="6"/>
  <c r="J4" i="2"/>
  <c r="C2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<sst xmlns="http://schemas.openxmlformats.org/spreadsheetml/2006/main" count="1230" uniqueCount="289">
  <si>
    <t>Agent Code</t>
  </si>
  <si>
    <t>Team</t>
  </si>
  <si>
    <t>Sales Buddy (for Filteration only)</t>
  </si>
  <si>
    <t>FILT_A</t>
  </si>
  <si>
    <t>Filteration</t>
  </si>
  <si>
    <t>SALES_A</t>
  </si>
  <si>
    <t>FILT_B</t>
  </si>
  <si>
    <t>SALES_B</t>
  </si>
  <si>
    <t>FILT_C</t>
  </si>
  <si>
    <t>SALES_C</t>
  </si>
  <si>
    <t>FILT_D</t>
  </si>
  <si>
    <t>SALES_D</t>
  </si>
  <si>
    <t>FILT_E</t>
  </si>
  <si>
    <t>SALES_E</t>
  </si>
  <si>
    <t>FILT_F</t>
  </si>
  <si>
    <t>SALES_F</t>
  </si>
  <si>
    <t>FILT_G</t>
  </si>
  <si>
    <t>Sales</t>
  </si>
  <si>
    <t>OTHER_1</t>
  </si>
  <si>
    <t>Other / historical</t>
  </si>
  <si>
    <t>OTHER_2</t>
  </si>
  <si>
    <t>Lead ID</t>
  </si>
  <si>
    <t>Signup Date</t>
  </si>
  <si>
    <t>Owner</t>
  </si>
  <si>
    <t>Contact Stage</t>
  </si>
  <si>
    <t>First Shipment Booked Date</t>
  </si>
  <si>
    <t>Marketing Lead Source</t>
  </si>
  <si>
    <t>Monthly Order Volume</t>
  </si>
  <si>
    <t>Lead_001</t>
  </si>
  <si>
    <t>Follow Up</t>
  </si>
  <si>
    <t>Google Paid</t>
  </si>
  <si>
    <t>1-100</t>
  </si>
  <si>
    <t>Lead_002</t>
  </si>
  <si>
    <t>Not Eligible Yet</t>
  </si>
  <si>
    <t>Facebook</t>
  </si>
  <si>
    <t>Lead_003</t>
  </si>
  <si>
    <t>Uncontactable</t>
  </si>
  <si>
    <t>Just starting out</t>
  </si>
  <si>
    <t>Lead_004</t>
  </si>
  <si>
    <t>Document &amp; Details Pending</t>
  </si>
  <si>
    <t>Organic</t>
  </si>
  <si>
    <t>100-300</t>
  </si>
  <si>
    <t>Lead_005</t>
  </si>
  <si>
    <t>Not Connected</t>
  </si>
  <si>
    <t>App</t>
  </si>
  <si>
    <t>Lead_006</t>
  </si>
  <si>
    <t>Follow-up in Future</t>
  </si>
  <si>
    <t>300-500</t>
  </si>
  <si>
    <t>Lead_007</t>
  </si>
  <si>
    <t>Lead_008</t>
  </si>
  <si>
    <t>Junk</t>
  </si>
  <si>
    <t>Lead_009</t>
  </si>
  <si>
    <t>Lead_010</t>
  </si>
  <si>
    <t>Lead_011</t>
  </si>
  <si>
    <t>Offer Pitched</t>
  </si>
  <si>
    <t>500+</t>
  </si>
  <si>
    <t>Lead_012</t>
  </si>
  <si>
    <t>Lead_013</t>
  </si>
  <si>
    <t>Verified</t>
  </si>
  <si>
    <t>Lead_014</t>
  </si>
  <si>
    <t>Meta</t>
  </si>
  <si>
    <t>Lead_015</t>
  </si>
  <si>
    <t>Lead_016</t>
  </si>
  <si>
    <t>Lead_017</t>
  </si>
  <si>
    <t>Lead_018</t>
  </si>
  <si>
    <t>Lead_019</t>
  </si>
  <si>
    <t>Verification Pending</t>
  </si>
  <si>
    <t>Lead_020</t>
  </si>
  <si>
    <t>Lead_021</t>
  </si>
  <si>
    <t>Lead_022</t>
  </si>
  <si>
    <t>Not Interested</t>
  </si>
  <si>
    <t>Lead_023</t>
  </si>
  <si>
    <t>Call Back</t>
  </si>
  <si>
    <t>Lead_024</t>
  </si>
  <si>
    <t>Lead_025</t>
  </si>
  <si>
    <t>Lead_026</t>
  </si>
  <si>
    <t>Lead_027</t>
  </si>
  <si>
    <t>Lead_028</t>
  </si>
  <si>
    <t>Lead_029</t>
  </si>
  <si>
    <t>Lead_030</t>
  </si>
  <si>
    <t>Lead_031</t>
  </si>
  <si>
    <t>Lead_032</t>
  </si>
  <si>
    <t>Offer Negotiation</t>
  </si>
  <si>
    <t>Lead_033</t>
  </si>
  <si>
    <t>Lead_034</t>
  </si>
  <si>
    <t>Lead_035</t>
  </si>
  <si>
    <t>Lead_036</t>
  </si>
  <si>
    <t>New Lead</t>
  </si>
  <si>
    <t>Lead_037</t>
  </si>
  <si>
    <t>Lead_038</t>
  </si>
  <si>
    <t>Lead_039</t>
  </si>
  <si>
    <t>Lead_040</t>
  </si>
  <si>
    <t>Lead_041</t>
  </si>
  <si>
    <t>Lead_042</t>
  </si>
  <si>
    <t>Lead_043</t>
  </si>
  <si>
    <t>Lead_044</t>
  </si>
  <si>
    <t>Lead_045</t>
  </si>
  <si>
    <t>Lead_046</t>
  </si>
  <si>
    <t>Lead_047</t>
  </si>
  <si>
    <t>Lead_048</t>
  </si>
  <si>
    <t>Lead_049</t>
  </si>
  <si>
    <t>Lead_050</t>
  </si>
  <si>
    <t>Lead_051</t>
  </si>
  <si>
    <t>Lead_052</t>
  </si>
  <si>
    <t>Lead_053</t>
  </si>
  <si>
    <t>Lead_054</t>
  </si>
  <si>
    <t>Lead_055</t>
  </si>
  <si>
    <t>Lead_056</t>
  </si>
  <si>
    <t>Lead_057</t>
  </si>
  <si>
    <t>Lead_058</t>
  </si>
  <si>
    <t>Lead_059</t>
  </si>
  <si>
    <t>Lead_060</t>
  </si>
  <si>
    <t>Lead_061</t>
  </si>
  <si>
    <t>Lead_062</t>
  </si>
  <si>
    <t>Lead_063</t>
  </si>
  <si>
    <t>Service Done</t>
  </si>
  <si>
    <t>Lead_064</t>
  </si>
  <si>
    <t>Interested</t>
  </si>
  <si>
    <t>Lead_065</t>
  </si>
  <si>
    <t>Lead_066</t>
  </si>
  <si>
    <t>Lead_067</t>
  </si>
  <si>
    <t>Lead_068</t>
  </si>
  <si>
    <t>Lead_069</t>
  </si>
  <si>
    <t>Lead_070</t>
  </si>
  <si>
    <t>Lead_071</t>
  </si>
  <si>
    <t>Lead_072</t>
  </si>
  <si>
    <t>Lead_073</t>
  </si>
  <si>
    <t>Lead_074</t>
  </si>
  <si>
    <t>Lead_075</t>
  </si>
  <si>
    <t>Lead_076</t>
  </si>
  <si>
    <t>Lead_077</t>
  </si>
  <si>
    <t>Lead_078</t>
  </si>
  <si>
    <t>Lead_079</t>
  </si>
  <si>
    <t>Lead_080</t>
  </si>
  <si>
    <t>Lead_081</t>
  </si>
  <si>
    <t>Lead_082</t>
  </si>
  <si>
    <t>Lead_083</t>
  </si>
  <si>
    <t>Lead_084</t>
  </si>
  <si>
    <t>Lead_085</t>
  </si>
  <si>
    <t>Lead_086</t>
  </si>
  <si>
    <t>Lead_087</t>
  </si>
  <si>
    <t>Lead_088</t>
  </si>
  <si>
    <t>Lead_089</t>
  </si>
  <si>
    <t>Lead_090</t>
  </si>
  <si>
    <t>Lead_091</t>
  </si>
  <si>
    <t>Lead_092</t>
  </si>
  <si>
    <t>Lead_093</t>
  </si>
  <si>
    <t>Lead_094</t>
  </si>
  <si>
    <t>Lead_095</t>
  </si>
  <si>
    <t>Lead_096</t>
  </si>
  <si>
    <t>Lead_097</t>
  </si>
  <si>
    <t>Lead_098</t>
  </si>
  <si>
    <t>Lead_099</t>
  </si>
  <si>
    <t>Lead_100</t>
  </si>
  <si>
    <t>Created On</t>
  </si>
  <si>
    <t>First Phone Call</t>
  </si>
  <si>
    <t>Latest Follow Up</t>
  </si>
  <si>
    <t>Start Time</t>
  </si>
  <si>
    <t>Agent</t>
  </si>
  <si>
    <t>Call Type</t>
  </si>
  <si>
    <t>Duration (seconds)</t>
  </si>
  <si>
    <t>Disposition</t>
  </si>
  <si>
    <t>OUTBOUND</t>
  </si>
  <si>
    <t>ANSWER</t>
  </si>
  <si>
    <t>INBOUND</t>
  </si>
  <si>
    <t>NOANSWER</t>
  </si>
  <si>
    <t>BUSY</t>
  </si>
  <si>
    <t>FAILED</t>
  </si>
  <si>
    <t>CANCEL</t>
  </si>
  <si>
    <t>Row Labels</t>
  </si>
  <si>
    <t>(blank)</t>
  </si>
  <si>
    <t>Lead Count</t>
  </si>
  <si>
    <t>% of Leads</t>
  </si>
  <si>
    <t>Column1</t>
  </si>
  <si>
    <t>Task 1 - Funnel Drop-off</t>
  </si>
  <si>
    <t>Key Finding</t>
  </si>
  <si>
    <t>Value</t>
  </si>
  <si>
    <t>Interpretation</t>
  </si>
  <si>
    <t>Biggest current blockage</t>
  </si>
  <si>
    <t>Likely driver</t>
  </si>
  <si>
    <t>16 Leads (16%) are stuck here, highest of any atage.</t>
  </si>
  <si>
    <t>Contactability</t>
  </si>
  <si>
    <t>Another 5 leads are uncontactable, taking contactibility related blockage by 21%.</t>
  </si>
  <si>
    <t>Current-state funnel</t>
  </si>
  <si>
    <t>Stage counts show where leads sit now, they do not prove exact sequential drop-off without full stage-history events.</t>
  </si>
  <si>
    <t>Opinion</t>
  </si>
  <si>
    <t>Owner  Team</t>
  </si>
  <si>
    <t>Convert Flag</t>
  </si>
  <si>
    <t>Lead Source</t>
  </si>
  <si>
    <t>Tota Leads</t>
  </si>
  <si>
    <t>Converted Leads</t>
  </si>
  <si>
    <t>Conversion rate</t>
  </si>
  <si>
    <t>A. Marketing Performance by Lead Source</t>
  </si>
  <si>
    <t>Task 2 - Segmentation Analysis</t>
  </si>
  <si>
    <t>Organic is the top-performing source, generating 12 conversions from 41 leads (29.3%). Meta and Facebook generated 17 leads with zero conversions, while Google Paid converted only 6.7%, suggesting a need to review paid campaign targeting and lead quality.</t>
  </si>
  <si>
    <t>Leads</t>
  </si>
  <si>
    <t>B. Merchant Size vs Conversion</t>
  </si>
  <si>
    <t>Yes, there is a positive correlation. Conversion rises steadily with merchant size, from 10.7% for 'Just starting out' to 27.3% for 500+. Prioritise 300+ volume leads, while preserving enough coverage for the larger 100-300 lead pool.</t>
  </si>
  <si>
    <t>Handoff Check</t>
  </si>
  <si>
    <t>Call Time Slot</t>
  </si>
  <si>
    <t>Connected Flag</t>
  </si>
  <si>
    <t>Calls</t>
  </si>
  <si>
    <t>Share</t>
  </si>
  <si>
    <t>Metric</t>
  </si>
  <si>
    <t>Failed to connect</t>
  </si>
  <si>
    <t>NOANSWER + BUSY + FAILED + CANCEL</t>
  </si>
  <si>
    <t>C. Call Connectivity Analysis</t>
  </si>
  <si>
    <t>Item</t>
  </si>
  <si>
    <t>Definition / Approach</t>
  </si>
  <si>
    <t>Analysis window</t>
  </si>
  <si>
    <t>Lead_Data contains 100 leads created in the last 30 days; Call_Log contains 100 calls from the last 7 days.</t>
  </si>
  <si>
    <t>Conversion</t>
  </si>
  <si>
    <t>First Shipment Booked Date is populated OR Contact Stage is Verified / Service Done.</t>
  </si>
  <si>
    <t>Working-hour TAT</t>
  </si>
  <si>
    <t>Monday-Saturday, 10:00-18:30; Sundays excluded. Calculated from Created On to First Phone Call.</t>
  </si>
  <si>
    <t>Funnel interpretation</t>
  </si>
  <si>
    <t>Contact Stage is a current-state distribution, not a strict sequential event funnel. The largest current blockage is therefore identified by the stage with the most leads.</t>
  </si>
  <si>
    <t>Agent caveat</t>
  </si>
  <si>
    <t>Current Owner cannot be used for a fair individual conversion ranking because 15 of 16 converted leads are still assigned to Filteration owners.</t>
  </si>
  <si>
    <t>Sample caveat</t>
  </si>
  <si>
    <t>Findings are directional: 100 leads and 7 days of call logs. Validate actions on the next cohort before permanent budget changes.</t>
  </si>
  <si>
    <t>Task 3 - Additional Insights</t>
  </si>
  <si>
    <t>Conversion Falg</t>
  </si>
  <si>
    <t>Response bucket</t>
  </si>
  <si>
    <t>&lt;=15 min</t>
  </si>
  <si>
    <t>&gt;60 min</t>
  </si>
  <si>
    <t>16-30 min</t>
  </si>
  <si>
    <t>31-60 min</t>
  </si>
  <si>
    <t>No Call</t>
  </si>
  <si>
    <t>First Response Working Hours</t>
  </si>
  <si>
    <t>Conversion Rate</t>
  </si>
  <si>
    <t>Converted</t>
  </si>
  <si>
    <t>First Response Bucket</t>
  </si>
  <si>
    <t>Insight 1 - Speed to Lead</t>
  </si>
  <si>
    <t>Diagnostic - Connection Rate by Call Time</t>
  </si>
  <si>
    <t>12:00-15:00</t>
  </si>
  <si>
    <t>15:00-18:00</t>
  </si>
  <si>
    <t>After 18:00</t>
  </si>
  <si>
    <t>Before 12:00</t>
  </si>
  <si>
    <t>Count of Disposition</t>
  </si>
  <si>
    <t>Sum of Connected Flag</t>
  </si>
  <si>
    <t>Answer Rate</t>
  </si>
  <si>
    <t>12:00-15:00 has the strongest observed answer rate at 84.4% (27/32). Use this window for priority retries, then validate over a larger sample.</t>
  </si>
  <si>
    <t>Analysed: Leads contacted within 15 minutes converted at 22.7% (10/44), compared with 9.5% (2/21) for leads contacted after 30 minutes. This indicates that improving first-response speed could directly improve conversion rates.</t>
  </si>
  <si>
    <t>Insight 2 - Handoff / Ownership Control</t>
  </si>
  <si>
    <t>Owner Team</t>
  </si>
  <si>
    <t>Count</t>
  </si>
  <si>
    <t>Rate</t>
  </si>
  <si>
    <t>Operational Meaning</t>
  </si>
  <si>
    <t>Converted leads owned by Sales</t>
  </si>
  <si>
    <t>Converted leads not owned by Sales</t>
  </si>
  <si>
    <t>Analysed: 93.8% of converted leads are still assigned to Filteration owners, indicating a potential gap in Sales handoff tracking or CRM ownership updates.</t>
  </si>
  <si>
    <t>All leads meeting the stated conversion definition</t>
  </si>
  <si>
    <t>Handoff appears completed</t>
  </si>
  <si>
    <t>Handoff missed or Owner field not updated</t>
  </si>
  <si>
    <t>Total Leads</t>
  </si>
  <si>
    <t>Conversions</t>
  </si>
  <si>
    <t>Key Findings</t>
  </si>
  <si>
    <t>Funnel Blockage</t>
  </si>
  <si>
    <t>Marketing Efficiency</t>
  </si>
  <si>
    <t>Speed to Lead</t>
  </si>
  <si>
    <t>Merchant Quality</t>
  </si>
  <si>
    <t>Process Control</t>
  </si>
  <si>
    <t>Organic converts at 29.3% (12/41). Meta + Facebook deliver 0/17, while Google Paid converts 2/30 (6.7%).</t>
  </si>
  <si>
    <t>Conversion increases with merchant size, reaching 27.3% for 500+ and 20.0% for 300-500.</t>
  </si>
  <si>
    <t>Prioritised Actions for Next Week</t>
  </si>
  <si>
    <t>Priority</t>
  </si>
  <si>
    <t>Action</t>
  </si>
  <si>
    <t>Owner / Due</t>
  </si>
  <si>
    <t>Success Measure</t>
  </si>
  <si>
    <t>Sales Ops | Tuesday</t>
  </si>
  <si>
    <t>100% of Verified / Service Done leads owned by Sales</t>
  </si>
  <si>
    <t>Filteration Lead | Wednesday</t>
  </si>
  <si>
    <t>&gt;=90% of new leads called within 15 minutes; non-connect below 35%</t>
  </si>
  <si>
    <t>Marketing + Sales | Friday</t>
  </si>
  <si>
    <t>Paid conversion above 10% in the next controlled cohort</t>
  </si>
  <si>
    <t>Audit and reassign the 15 converted Filteration-owned leads, activate stage-based routing and a daily ownership exception report.</t>
  </si>
  <si>
    <t xml:space="preserve">Sales Ops </t>
  </si>
  <si>
    <t xml:space="preserve">Filteration Lead </t>
  </si>
  <si>
    <t xml:space="preserve">Marketing + Sales </t>
  </si>
  <si>
    <t>Failed Connection Rate</t>
  </si>
  <si>
    <t>Not Connected is the largest pipeline blockage with 16 leads. Including Uncontactable leads, 21 leads have a contactability issue, indicating a need to improve lead reachability.</t>
  </si>
  <si>
    <t>Leads contacted within 15 minutes convert at 22.7%, more than double the 9.5% conversion rate observed after 30 minutes.</t>
  </si>
  <si>
    <t>15 of 16 converted leads remain outside Sales ownership, indicating a potential handoff tracking or CRM ownership update issue.</t>
  </si>
  <si>
    <t>Test 12:00-15:00 as a priority retry window based on the observed 84.4% answer rate.</t>
  </si>
  <si>
    <t>Review paid targeting and lead quality: analyse Meta/Facebook audience quality, optimise Google Paid campaigns, and prioritise 300+ volume leads.</t>
  </si>
  <si>
    <t>Insight</t>
  </si>
  <si>
    <t>Insight: 40% of call attempts failed to connect, mainly due to no-answer cases (24%). The team should optimise calling schedules and follow-up attempts to improve lead reachability.</t>
  </si>
  <si>
    <t>30-Day Lead Funnel &amp; Efficiency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</si>
</sst>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\ hh:mm"/>
    <numFmt numFmtId="165" formatCode="yyyy\-mm\-dd\ hh:mm:ss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1F2937"/>
      <name val="Calibri"/>
      <family val="2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theme="3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6F9"/>
      </patternFill>
    </fill>
    <fill>
      <patternFill patternType="solid">
        <fgColor rgb="FF2F75B5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30549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66" fontId="0" fillId="0" borderId="1" xfId="0" applyNumberFormat="1" applyBorder="1"/>
    <xf numFmtId="0" fontId="0" fillId="0" borderId="7" xfId="0" applyBorder="1"/>
    <xf numFmtId="0" fontId="0" fillId="0" borderId="8" xfId="0" applyBorder="1"/>
    <xf numFmtId="166" fontId="0" fillId="0" borderId="9" xfId="0" applyNumberFormat="1" applyBorder="1"/>
    <xf numFmtId="0" fontId="5" fillId="5" borderId="2" xfId="0" applyFont="1" applyFill="1" applyBorder="1"/>
    <xf numFmtId="0" fontId="5" fillId="5" borderId="3" xfId="0" applyFont="1" applyFill="1" applyBorder="1"/>
    <xf numFmtId="166" fontId="5" fillId="5" borderId="1" xfId="0" applyNumberFormat="1" applyFont="1" applyFill="1" applyBorder="1"/>
    <xf numFmtId="0" fontId="1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2" xfId="0" applyFont="1" applyBorder="1"/>
    <xf numFmtId="0" fontId="7" fillId="0" borderId="3" xfId="0" applyFont="1" applyBorder="1"/>
    <xf numFmtId="166" fontId="7" fillId="0" borderId="1" xfId="0" applyNumberFormat="1" applyFont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6" fontId="0" fillId="8" borderId="1" xfId="0" applyNumberFormat="1" applyFill="1" applyBorder="1"/>
    <xf numFmtId="166" fontId="0" fillId="8" borderId="9" xfId="0" applyNumberFormat="1" applyFill="1" applyBorder="1"/>
    <xf numFmtId="0" fontId="2" fillId="3" borderId="3" xfId="0" applyFont="1" applyFill="1" applyBorder="1"/>
    <xf numFmtId="166" fontId="0" fillId="0" borderId="3" xfId="0" applyNumberFormat="1" applyBorder="1"/>
    <xf numFmtId="0" fontId="1" fillId="6" borderId="0" xfId="0" applyFont="1" applyFill="1" applyAlignment="1">
      <alignment horizontal="center" vertical="center" wrapText="1"/>
    </xf>
    <xf numFmtId="166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wrapText="1"/>
    </xf>
    <xf numFmtId="2" fontId="0" fillId="0" borderId="0" xfId="0" applyNumberFormat="1"/>
    <xf numFmtId="0" fontId="1" fillId="15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166" fontId="0" fillId="17" borderId="3" xfId="0" applyNumberFormat="1" applyFill="1" applyBorder="1"/>
    <xf numFmtId="0" fontId="3" fillId="19" borderId="0" xfId="0" applyFont="1" applyFill="1" applyAlignment="1">
      <alignment horizontal="center" vertical="center"/>
    </xf>
    <xf numFmtId="0" fontId="0" fillId="16" borderId="0" xfId="0" applyFill="1"/>
    <xf numFmtId="0" fontId="4" fillId="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10" fillId="9" borderId="11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left" wrapText="1"/>
    </xf>
    <xf numFmtId="0" fontId="9" fillId="9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left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vertical="center" wrapText="1"/>
    </xf>
    <xf numFmtId="0" fontId="10" fillId="9" borderId="0" xfId="0" applyFont="1" applyFill="1" applyAlignment="1">
      <alignment horizontal="left" vertical="center"/>
    </xf>
    <xf numFmtId="0" fontId="6" fillId="7" borderId="0" xfId="0" applyFont="1" applyFill="1" applyAlignment="1">
      <alignment wrapText="1"/>
    </xf>
    <xf numFmtId="0" fontId="10" fillId="12" borderId="1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3" fillId="16" borderId="0" xfId="0" applyFont="1" applyFill="1" applyAlignment="1">
      <alignment horizontal="left" wrapText="1"/>
    </xf>
    <xf numFmtId="0" fontId="10" fillId="1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2" fillId="19" borderId="0" xfId="0" applyFont="1" applyFill="1" applyAlignment="1">
      <alignment horizontal="center" vertical="center"/>
    </xf>
    <xf numFmtId="166" fontId="12" fillId="19" borderId="0" xfId="0" applyNumberFormat="1" applyFont="1" applyFill="1" applyAlignment="1">
      <alignment horizontal="center" vertical="center"/>
    </xf>
    <xf numFmtId="9" fontId="12" fillId="19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0" fontId="9" fillId="18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numFmt numFmtId="166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color theme="0"/>
      </font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3"/>
      </font>
    </dxf>
  </dxfs>
  <tableStyles count="2" defaultTableStyle="TableStyleMedium9" defaultPivotStyle="PivotStyleLight16">
    <tableStyle name="Table Style 1" pivot="0" count="1" xr9:uid="{43F0D66A-8651-453C-8970-69447CF1DCF0}">
      <tableStyleElement type="headerRow" dxfId="16"/>
    </tableStyle>
    <tableStyle name="Table Style 2" pivot="0" count="1" xr9:uid="{4A2BFB36-6E5C-4450-A5EB-A3FB5620D71C}"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Current</a:t>
            </a:r>
            <a:r>
              <a:rPr lang="en-US" b="1" baseline="0">
                <a:solidFill>
                  <a:sysClr val="windowText" lastClr="000000"/>
                </a:solidFill>
              </a:rPr>
              <a:t> Lead Distribution by Contact Stage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'Task-1 Funnel'!$B$4</c:f>
              <c:strCache>
                <c:ptCount val="1"/>
                <c:pt idx="0">
                  <c:v>Lead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'Task-1 Funnel'!$A$5:$A$21</c:f>
              <c:strCache>
                <c:ptCount val="17"/>
                <c:pt idx="0">
                  <c:v>Not Connected</c:v>
                </c:pt>
                <c:pt idx="1">
                  <c:v>Verified</c:v>
                </c:pt>
                <c:pt idx="2">
                  <c:v>Junk</c:v>
                </c:pt>
                <c:pt idx="3">
                  <c:v>Not Interested</c:v>
                </c:pt>
                <c:pt idx="4">
                  <c:v>Follow-up in Future</c:v>
                </c:pt>
                <c:pt idx="5">
                  <c:v>Not Eligible Yet</c:v>
                </c:pt>
                <c:pt idx="6">
                  <c:v>Call Back</c:v>
                </c:pt>
                <c:pt idx="7">
                  <c:v>Uncontactable</c:v>
                </c:pt>
                <c:pt idx="8">
                  <c:v>Follow Up</c:v>
                </c:pt>
                <c:pt idx="9">
                  <c:v>Verification Pending</c:v>
                </c:pt>
                <c:pt idx="10">
                  <c:v>New Lead</c:v>
                </c:pt>
                <c:pt idx="11">
                  <c:v>Offer Pitched</c:v>
                </c:pt>
                <c:pt idx="12">
                  <c:v>(blank)</c:v>
                </c:pt>
                <c:pt idx="13">
                  <c:v>Document &amp; Details Pending</c:v>
                </c:pt>
                <c:pt idx="14">
                  <c:v>Service Done</c:v>
                </c:pt>
                <c:pt idx="15">
                  <c:v>Offer Negotiation</c:v>
                </c:pt>
                <c:pt idx="16">
                  <c:v>Interested</c:v>
                </c:pt>
              </c:strCache>
            </c:strRef>
          </c:cat>
          <c:val>
            <c:numRef>
              <c:f>'Task-1 Funnel'!$B$5:$B$21</c:f>
              <c:numCache>
                <c:formatCode>General</c:formatCode>
                <c:ptCount val="17"/>
                <c:pt idx="0">
                  <c:v>16</c:v>
                </c:pt>
                <c:pt idx="1">
                  <c:v>13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9-4D5B-B6E6-5EAC61524E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32455247"/>
        <c:axId val="627994031"/>
      </c:barChart>
      <c:catAx>
        <c:axId val="83245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94031"/>
        <c:crosses val="autoZero"/>
        <c:auto val="1"/>
        <c:lblAlgn val="ctr"/>
        <c:lblOffset val="100"/>
        <c:noMultiLvlLbl val="0"/>
      </c:catAx>
      <c:valAx>
        <c:axId val="6279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5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3</xdr:row>
      <xdr:rowOff>0</xdr:rowOff>
    </xdr:from>
    <xdr:to>
      <xdr:col>14</xdr:col>
      <xdr:colOff>7620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409C3-DD73-CB7A-30A7-02AE434CE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50901-66AF-4B66-A545-11C0DAD21812}" name="Table2" displayName="Table2" ref="A4:C21" totalsRowShown="0" headerRowDxfId="14" headerRowBorderDxfId="13" tableBorderDxfId="12" totalsRowBorderDxfId="11">
  <autoFilter ref="A4:C21" xr:uid="{FF550901-66AF-4B66-A545-11C0DAD21812}"/>
  <tableColumns count="3">
    <tableColumn id="1" xr3:uid="{B4592F81-262C-44D4-BA16-9391C1AE7DB7}" name="Column1" dataDxfId="10"/>
    <tableColumn id="2" xr3:uid="{65F154EB-7947-40D6-B2B9-A7C984191F59}" name="Lead Count" dataDxfId="9"/>
    <tableColumn id="3" xr3:uid="{48DE0191-CF02-4671-A2E3-82D1F264FA98}" name="% of Leads" dataDxfId="8">
      <calculatedColumnFormula>B5/COUNTA(Lead_Data!$A$2:$A$101)</calculatedColumnFormula>
    </tableColumn>
  </tableColumns>
  <tableStyleInfo name="Table Style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FAA3D6-37C6-478C-99E3-CBF11B0B3294}" name="Table3" displayName="Table3" ref="A5:D10" totalsRowShown="0" headerRowDxfId="7" headerRowBorderDxfId="6" tableBorderDxfId="5" totalsRowBorderDxfId="4">
  <autoFilter ref="A5:D10" xr:uid="{0CFAA3D6-37C6-478C-99E3-CBF11B0B3294}"/>
  <sortState xmlns:xlrd2="http://schemas.microsoft.com/office/spreadsheetml/2017/richdata2" ref="A6:D10">
    <sortCondition descending="1" ref="D6:D10"/>
  </sortState>
  <tableColumns count="4">
    <tableColumn id="1" xr3:uid="{F92901A9-FE86-4EE8-A8C6-F032ADF41E80}" name="Lead Source" dataDxfId="3"/>
    <tableColumn id="2" xr3:uid="{02EDC387-9E66-4545-8A8F-DF21E6D9BF44}" name="Tota Leads" dataDxfId="2"/>
    <tableColumn id="3" xr3:uid="{491EB151-7B62-4E95-BA6E-0BEDCD95947C}" name="Converted Leads" dataDxfId="1"/>
    <tableColumn id="4" xr3:uid="{2D9C9FA4-8F2E-43AB-BD7A-58072B7E54EC}" name="Conversion rate" dataDxfId="0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topLeftCell="D1" workbookViewId="0">
      <selection activeCell="F14" sqref="F14"/>
    </sheetView>
  </sheetViews>
  <sheetFormatPr defaultColWidth="20.109375" defaultRowHeight="14.4" x14ac:dyDescent="0.3"/>
  <cols>
    <col min="1" max="1" width="16.77734375" customWidth="1"/>
    <col min="2" max="2" width="19.77734375" customWidth="1"/>
    <col min="4" max="4" width="24.33203125" bestFit="1" customWidth="1"/>
    <col min="5" max="5" width="24.5546875" bestFit="1" customWidth="1"/>
    <col min="6" max="6" width="25" bestFit="1" customWidth="1"/>
    <col min="7" max="7" width="20.6640625" bestFit="1" customWidth="1"/>
    <col min="8" max="8" width="11.44140625" bestFit="1" customWidth="1"/>
    <col min="10" max="10" width="24.5546875" bestFit="1" customWidth="1"/>
  </cols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44" t="s">
        <v>187</v>
      </c>
      <c r="I1" s="44" t="s">
        <v>186</v>
      </c>
      <c r="J1" s="44" t="s">
        <v>198</v>
      </c>
    </row>
    <row r="2" spans="1:10" x14ac:dyDescent="0.3">
      <c r="A2" t="s">
        <v>28</v>
      </c>
      <c r="B2" s="2">
        <v>46207.579933543668</v>
      </c>
      <c r="C2" t="s">
        <v>12</v>
      </c>
      <c r="D2" t="s">
        <v>29</v>
      </c>
      <c r="F2" t="s">
        <v>30</v>
      </c>
      <c r="G2" t="s">
        <v>31</v>
      </c>
      <c r="H2">
        <f>IF(OR(E2&lt;&gt;"",D2="Verified", D2="Service Done"),1,0)</f>
        <v>0</v>
      </c>
      <c r="I2" t="str">
        <f>_xlfn.XLOOKUP(C2,Team_Legend!A:A,Team_Legend!B:B,"",0)</f>
        <v>Filteration</v>
      </c>
      <c r="J2" t="str">
        <f>IF(H2=1,IF(I2="Sales","OK","Converted - Owner not Sales"),"")</f>
        <v/>
      </c>
    </row>
    <row r="3" spans="1:10" x14ac:dyDescent="0.3">
      <c r="A3" t="s">
        <v>32</v>
      </c>
      <c r="B3" s="2">
        <v>46192.369519727763</v>
      </c>
      <c r="C3" t="s">
        <v>16</v>
      </c>
      <c r="D3" t="s">
        <v>33</v>
      </c>
      <c r="F3" t="s">
        <v>34</v>
      </c>
      <c r="G3" t="s">
        <v>31</v>
      </c>
      <c r="H3">
        <f t="shared" ref="H3:H66" si="0">IF(OR(E3&lt;&gt;"",D3="Verified", D3="Service Done"),1,0)</f>
        <v>0</v>
      </c>
      <c r="I3" t="str">
        <f>_xlfn.XLOOKUP(C3,Team_Legend!A:A,Team_Legend!B:B,"",0)</f>
        <v>Filteration</v>
      </c>
      <c r="J3" t="str">
        <f t="shared" ref="J3:J66" si="1">IF(H3=1,IF(I3="Sales","OK","Converted - Owner not Sales"),"")</f>
        <v/>
      </c>
    </row>
    <row r="4" spans="1:10" x14ac:dyDescent="0.3">
      <c r="A4" t="s">
        <v>35</v>
      </c>
      <c r="B4" s="2">
        <v>46203.957893924511</v>
      </c>
      <c r="C4" t="s">
        <v>14</v>
      </c>
      <c r="D4" t="s">
        <v>36</v>
      </c>
      <c r="F4" t="s">
        <v>30</v>
      </c>
      <c r="G4" t="s">
        <v>37</v>
      </c>
      <c r="H4">
        <f t="shared" si="0"/>
        <v>0</v>
      </c>
      <c r="I4" t="str">
        <f>_xlfn.XLOOKUP(C4,Team_Legend!A:A,Team_Legend!B:B,"",0)</f>
        <v>Filteration</v>
      </c>
      <c r="J4" t="str">
        <f t="shared" si="1"/>
        <v/>
      </c>
    </row>
    <row r="5" spans="1:10" x14ac:dyDescent="0.3">
      <c r="A5" t="s">
        <v>38</v>
      </c>
      <c r="B5" s="2">
        <v>46202.404002096438</v>
      </c>
      <c r="C5" t="s">
        <v>8</v>
      </c>
      <c r="D5" t="s">
        <v>39</v>
      </c>
      <c r="F5" t="s">
        <v>40</v>
      </c>
      <c r="G5" t="s">
        <v>41</v>
      </c>
      <c r="H5">
        <f t="shared" si="0"/>
        <v>0</v>
      </c>
      <c r="I5" t="str">
        <f>_xlfn.XLOOKUP(C5,Team_Legend!A:A,Team_Legend!B:B,"",0)</f>
        <v>Filteration</v>
      </c>
      <c r="J5" t="str">
        <f t="shared" si="1"/>
        <v/>
      </c>
    </row>
    <row r="6" spans="1:10" x14ac:dyDescent="0.3">
      <c r="A6" t="s">
        <v>42</v>
      </c>
      <c r="B6" s="2">
        <v>46208.579948512619</v>
      </c>
      <c r="C6" t="s">
        <v>16</v>
      </c>
      <c r="D6" t="s">
        <v>43</v>
      </c>
      <c r="F6" t="s">
        <v>44</v>
      </c>
      <c r="G6" t="s">
        <v>41</v>
      </c>
      <c r="H6">
        <f t="shared" si="0"/>
        <v>0</v>
      </c>
      <c r="I6" t="str">
        <f>_xlfn.XLOOKUP(C6,Team_Legend!A:A,Team_Legend!B:B,"",0)</f>
        <v>Filteration</v>
      </c>
      <c r="J6" t="str">
        <f t="shared" si="1"/>
        <v/>
      </c>
    </row>
    <row r="7" spans="1:10" x14ac:dyDescent="0.3">
      <c r="A7" t="s">
        <v>45</v>
      </c>
      <c r="B7" s="2">
        <v>46198.812878909361</v>
      </c>
      <c r="C7" t="s">
        <v>3</v>
      </c>
      <c r="D7" t="s">
        <v>46</v>
      </c>
      <c r="F7" t="s">
        <v>30</v>
      </c>
      <c r="G7" t="s">
        <v>47</v>
      </c>
      <c r="H7">
        <f t="shared" si="0"/>
        <v>0</v>
      </c>
      <c r="I7" t="str">
        <f>_xlfn.XLOOKUP(C7,Team_Legend!A:A,Team_Legend!B:B,"",0)</f>
        <v>Filteration</v>
      </c>
      <c r="J7" t="str">
        <f t="shared" si="1"/>
        <v/>
      </c>
    </row>
    <row r="8" spans="1:10" x14ac:dyDescent="0.3">
      <c r="A8" t="s">
        <v>48</v>
      </c>
      <c r="B8" s="2">
        <v>46207.521481737589</v>
      </c>
      <c r="C8" t="s">
        <v>3</v>
      </c>
      <c r="D8" t="s">
        <v>36</v>
      </c>
      <c r="F8" t="s">
        <v>30</v>
      </c>
      <c r="G8" t="s">
        <v>31</v>
      </c>
      <c r="H8">
        <f t="shared" si="0"/>
        <v>0</v>
      </c>
      <c r="I8" t="str">
        <f>_xlfn.XLOOKUP(C8,Team_Legend!A:A,Team_Legend!B:B,"",0)</f>
        <v>Filteration</v>
      </c>
      <c r="J8" t="str">
        <f t="shared" si="1"/>
        <v/>
      </c>
    </row>
    <row r="9" spans="1:10" x14ac:dyDescent="0.3">
      <c r="A9" t="s">
        <v>49</v>
      </c>
      <c r="B9" s="2">
        <v>46193.494231830322</v>
      </c>
      <c r="C9" t="s">
        <v>10</v>
      </c>
      <c r="D9" t="s">
        <v>50</v>
      </c>
      <c r="F9" t="s">
        <v>44</v>
      </c>
      <c r="G9" t="s">
        <v>31</v>
      </c>
      <c r="H9">
        <f t="shared" si="0"/>
        <v>0</v>
      </c>
      <c r="I9" t="str">
        <f>_xlfn.XLOOKUP(C9,Team_Legend!A:A,Team_Legend!B:B,"",0)</f>
        <v>Filteration</v>
      </c>
      <c r="J9" t="str">
        <f t="shared" si="1"/>
        <v/>
      </c>
    </row>
    <row r="10" spans="1:10" x14ac:dyDescent="0.3">
      <c r="A10" t="s">
        <v>51</v>
      </c>
      <c r="B10" s="2">
        <v>46206.770729172109</v>
      </c>
      <c r="C10" t="s">
        <v>10</v>
      </c>
      <c r="D10" t="s">
        <v>29</v>
      </c>
      <c r="F10" t="s">
        <v>40</v>
      </c>
      <c r="G10" t="s">
        <v>37</v>
      </c>
      <c r="H10">
        <f t="shared" si="0"/>
        <v>0</v>
      </c>
      <c r="I10" t="str">
        <f>_xlfn.XLOOKUP(C10,Team_Legend!A:A,Team_Legend!B:B,"",0)</f>
        <v>Filteration</v>
      </c>
      <c r="J10" t="str">
        <f t="shared" si="1"/>
        <v/>
      </c>
    </row>
    <row r="11" spans="1:10" x14ac:dyDescent="0.3">
      <c r="A11" t="s">
        <v>52</v>
      </c>
      <c r="B11" s="2">
        <v>46185.7331280219</v>
      </c>
      <c r="C11" t="s">
        <v>16</v>
      </c>
      <c r="D11" t="s">
        <v>29</v>
      </c>
      <c r="F11" t="s">
        <v>40</v>
      </c>
      <c r="G11" t="s">
        <v>31</v>
      </c>
      <c r="H11">
        <f t="shared" si="0"/>
        <v>0</v>
      </c>
      <c r="I11" t="str">
        <f>_xlfn.XLOOKUP(C11,Team_Legend!A:A,Team_Legend!B:B,"",0)</f>
        <v>Filteration</v>
      </c>
      <c r="J11" t="str">
        <f t="shared" si="1"/>
        <v/>
      </c>
    </row>
    <row r="12" spans="1:10" x14ac:dyDescent="0.3">
      <c r="A12" t="s">
        <v>53</v>
      </c>
      <c r="B12" s="2">
        <v>46197.894369605783</v>
      </c>
      <c r="C12" t="s">
        <v>3</v>
      </c>
      <c r="D12" t="s">
        <v>54</v>
      </c>
      <c r="F12" t="s">
        <v>30</v>
      </c>
      <c r="G12" t="s">
        <v>55</v>
      </c>
      <c r="H12">
        <f t="shared" si="0"/>
        <v>0</v>
      </c>
      <c r="I12" t="str">
        <f>_xlfn.XLOOKUP(C12,Team_Legend!A:A,Team_Legend!B:B,"",0)</f>
        <v>Filteration</v>
      </c>
      <c r="J12" t="str">
        <f t="shared" si="1"/>
        <v/>
      </c>
    </row>
    <row r="13" spans="1:10" x14ac:dyDescent="0.3">
      <c r="A13" t="s">
        <v>56</v>
      </c>
      <c r="B13" s="2">
        <v>46188.520127039214</v>
      </c>
      <c r="C13" t="s">
        <v>3</v>
      </c>
      <c r="D13" t="s">
        <v>46</v>
      </c>
      <c r="F13" t="s">
        <v>30</v>
      </c>
      <c r="G13" t="s">
        <v>31</v>
      </c>
      <c r="H13">
        <f t="shared" si="0"/>
        <v>0</v>
      </c>
      <c r="I13" t="str">
        <f>_xlfn.XLOOKUP(C13,Team_Legend!A:A,Team_Legend!B:B,"",0)</f>
        <v>Filteration</v>
      </c>
      <c r="J13" t="str">
        <f t="shared" si="1"/>
        <v/>
      </c>
    </row>
    <row r="14" spans="1:10" x14ac:dyDescent="0.3">
      <c r="A14" t="s">
        <v>57</v>
      </c>
      <c r="B14" s="2">
        <v>46203.61707073079</v>
      </c>
      <c r="C14" t="s">
        <v>15</v>
      </c>
      <c r="D14" t="s">
        <v>58</v>
      </c>
      <c r="E14" s="2">
        <v>46213.908737397447</v>
      </c>
      <c r="F14" t="s">
        <v>44</v>
      </c>
      <c r="G14" t="s">
        <v>31</v>
      </c>
      <c r="H14">
        <f>IF(OR(E14&lt;&gt;"",D14="Verified", D14="Service Done"),1,0)</f>
        <v>1</v>
      </c>
      <c r="I14" t="str">
        <f>_xlfn.XLOOKUP(C14,Team_Legend!A:A,Team_Legend!B:B,"",0)</f>
        <v>Sales</v>
      </c>
      <c r="J14" t="str">
        <f t="shared" si="1"/>
        <v>OK</v>
      </c>
    </row>
    <row r="15" spans="1:10" x14ac:dyDescent="0.3">
      <c r="A15" t="s">
        <v>59</v>
      </c>
      <c r="B15" s="2">
        <v>46190.815449702131</v>
      </c>
      <c r="C15" t="s">
        <v>6</v>
      </c>
      <c r="D15" t="s">
        <v>50</v>
      </c>
      <c r="F15" t="s">
        <v>60</v>
      </c>
      <c r="G15" t="s">
        <v>55</v>
      </c>
      <c r="H15">
        <f t="shared" si="0"/>
        <v>0</v>
      </c>
      <c r="I15" t="str">
        <f>_xlfn.XLOOKUP(C15,Team_Legend!A:A,Team_Legend!B:B,"",0)</f>
        <v>Filteration</v>
      </c>
      <c r="J15" t="str">
        <f t="shared" si="1"/>
        <v/>
      </c>
    </row>
    <row r="16" spans="1:10" x14ac:dyDescent="0.3">
      <c r="A16" t="s">
        <v>61</v>
      </c>
      <c r="B16" s="2">
        <v>46198.381145792708</v>
      </c>
      <c r="C16" t="s">
        <v>12</v>
      </c>
      <c r="D16" t="s">
        <v>46</v>
      </c>
      <c r="F16" t="s">
        <v>40</v>
      </c>
      <c r="G16" t="s">
        <v>31</v>
      </c>
      <c r="H16">
        <f t="shared" si="0"/>
        <v>0</v>
      </c>
      <c r="I16" t="str">
        <f>_xlfn.XLOOKUP(C16,Team_Legend!A:A,Team_Legend!B:B,"",0)</f>
        <v>Filteration</v>
      </c>
      <c r="J16" t="str">
        <f t="shared" si="1"/>
        <v/>
      </c>
    </row>
    <row r="17" spans="1:10" x14ac:dyDescent="0.3">
      <c r="A17" t="s">
        <v>62</v>
      </c>
      <c r="B17" s="2">
        <v>46199.850659323987</v>
      </c>
      <c r="C17" t="s">
        <v>16</v>
      </c>
      <c r="D17" t="s">
        <v>43</v>
      </c>
      <c r="F17" t="s">
        <v>40</v>
      </c>
      <c r="G17" t="s">
        <v>31</v>
      </c>
      <c r="H17">
        <f t="shared" si="0"/>
        <v>0</v>
      </c>
      <c r="I17" t="str">
        <f>_xlfn.XLOOKUP(C17,Team_Legend!A:A,Team_Legend!B:B,"",0)</f>
        <v>Filteration</v>
      </c>
      <c r="J17" t="str">
        <f t="shared" si="1"/>
        <v/>
      </c>
    </row>
    <row r="18" spans="1:10" x14ac:dyDescent="0.3">
      <c r="A18" t="s">
        <v>63</v>
      </c>
      <c r="B18" s="2">
        <v>46196.644684021332</v>
      </c>
      <c r="C18" t="s">
        <v>10</v>
      </c>
      <c r="F18" t="s">
        <v>60</v>
      </c>
      <c r="G18" t="s">
        <v>41</v>
      </c>
      <c r="H18">
        <f t="shared" si="0"/>
        <v>0</v>
      </c>
      <c r="I18" t="str">
        <f>_xlfn.XLOOKUP(C18,Team_Legend!A:A,Team_Legend!B:B,"",0)</f>
        <v>Filteration</v>
      </c>
      <c r="J18" t="str">
        <f t="shared" si="1"/>
        <v/>
      </c>
    </row>
    <row r="19" spans="1:10" x14ac:dyDescent="0.3">
      <c r="A19" t="s">
        <v>64</v>
      </c>
      <c r="B19" s="2">
        <v>46204.603914349493</v>
      </c>
      <c r="C19" t="s">
        <v>14</v>
      </c>
      <c r="D19" t="s">
        <v>58</v>
      </c>
      <c r="E19" s="2">
        <v>46205.937247682821</v>
      </c>
      <c r="F19" t="s">
        <v>40</v>
      </c>
      <c r="G19" t="s">
        <v>31</v>
      </c>
      <c r="H19">
        <f t="shared" si="0"/>
        <v>1</v>
      </c>
      <c r="I19" t="str">
        <f>_xlfn.XLOOKUP(C19,Team_Legend!A:A,Team_Legend!B:B,"",0)</f>
        <v>Filteration</v>
      </c>
      <c r="J19" t="str">
        <f t="shared" si="1"/>
        <v>Converted - Owner not Sales</v>
      </c>
    </row>
    <row r="20" spans="1:10" x14ac:dyDescent="0.3">
      <c r="A20" t="s">
        <v>65</v>
      </c>
      <c r="B20" s="2">
        <v>46182.205416755532</v>
      </c>
      <c r="C20" t="s">
        <v>10</v>
      </c>
      <c r="D20" t="s">
        <v>66</v>
      </c>
      <c r="F20" t="s">
        <v>44</v>
      </c>
      <c r="G20" t="s">
        <v>55</v>
      </c>
      <c r="H20">
        <f t="shared" si="0"/>
        <v>0</v>
      </c>
      <c r="I20" t="str">
        <f>_xlfn.XLOOKUP(C20,Team_Legend!A:A,Team_Legend!B:B,"",0)</f>
        <v>Filteration</v>
      </c>
      <c r="J20" t="str">
        <f t="shared" si="1"/>
        <v/>
      </c>
    </row>
    <row r="21" spans="1:10" x14ac:dyDescent="0.3">
      <c r="A21" t="s">
        <v>67</v>
      </c>
      <c r="B21" s="2">
        <v>46204.789682870723</v>
      </c>
      <c r="C21" t="s">
        <v>16</v>
      </c>
      <c r="D21" t="s">
        <v>43</v>
      </c>
      <c r="F21" t="s">
        <v>40</v>
      </c>
      <c r="G21" t="s">
        <v>37</v>
      </c>
      <c r="H21">
        <f t="shared" si="0"/>
        <v>0</v>
      </c>
      <c r="I21" t="str">
        <f>_xlfn.XLOOKUP(C21,Team_Legend!A:A,Team_Legend!B:B,"",0)</f>
        <v>Filteration</v>
      </c>
      <c r="J21" t="str">
        <f t="shared" si="1"/>
        <v/>
      </c>
    </row>
    <row r="22" spans="1:10" x14ac:dyDescent="0.3">
      <c r="A22" t="s">
        <v>68</v>
      </c>
      <c r="B22" s="2">
        <v>46205.395506416193</v>
      </c>
      <c r="C22" t="s">
        <v>20</v>
      </c>
      <c r="D22" t="s">
        <v>43</v>
      </c>
      <c r="F22" t="s">
        <v>40</v>
      </c>
      <c r="G22" t="s">
        <v>37</v>
      </c>
      <c r="H22">
        <f t="shared" si="0"/>
        <v>0</v>
      </c>
      <c r="I22" t="str">
        <f>_xlfn.XLOOKUP(C22,Team_Legend!A:A,Team_Legend!B:B,"",0)</f>
        <v>Other / historical</v>
      </c>
      <c r="J22" t="str">
        <f t="shared" si="1"/>
        <v/>
      </c>
    </row>
    <row r="23" spans="1:10" x14ac:dyDescent="0.3">
      <c r="A23" t="s">
        <v>69</v>
      </c>
      <c r="B23" s="2">
        <v>46186.745988426352</v>
      </c>
      <c r="C23" t="s">
        <v>3</v>
      </c>
      <c r="D23" t="s">
        <v>70</v>
      </c>
      <c r="F23" t="s">
        <v>34</v>
      </c>
      <c r="G23" t="s">
        <v>41</v>
      </c>
      <c r="H23">
        <f t="shared" si="0"/>
        <v>0</v>
      </c>
      <c r="I23" t="str">
        <f>_xlfn.XLOOKUP(C23,Team_Legend!A:A,Team_Legend!B:B,"",0)</f>
        <v>Filteration</v>
      </c>
      <c r="J23" t="str">
        <f t="shared" si="1"/>
        <v/>
      </c>
    </row>
    <row r="24" spans="1:10" x14ac:dyDescent="0.3">
      <c r="A24" t="s">
        <v>71</v>
      </c>
      <c r="B24" s="2">
        <v>46181.465534434537</v>
      </c>
      <c r="C24" t="s">
        <v>12</v>
      </c>
      <c r="D24" t="s">
        <v>72</v>
      </c>
      <c r="F24" t="s">
        <v>44</v>
      </c>
      <c r="G24" t="s">
        <v>37</v>
      </c>
      <c r="H24">
        <f t="shared" si="0"/>
        <v>0</v>
      </c>
      <c r="I24" t="str">
        <f>_xlfn.XLOOKUP(C24,Team_Legend!A:A,Team_Legend!B:B,"",0)</f>
        <v>Filteration</v>
      </c>
      <c r="J24" t="str">
        <f t="shared" si="1"/>
        <v/>
      </c>
    </row>
    <row r="25" spans="1:10" x14ac:dyDescent="0.3">
      <c r="A25" t="s">
        <v>73</v>
      </c>
      <c r="B25" s="2">
        <v>46202.840354517073</v>
      </c>
      <c r="C25" t="s">
        <v>16</v>
      </c>
      <c r="D25" t="s">
        <v>50</v>
      </c>
      <c r="F25" t="s">
        <v>40</v>
      </c>
      <c r="G25" t="s">
        <v>47</v>
      </c>
      <c r="H25">
        <f t="shared" si="0"/>
        <v>0</v>
      </c>
      <c r="I25" t="str">
        <f>_xlfn.XLOOKUP(C25,Team_Legend!A:A,Team_Legend!B:B,"",0)</f>
        <v>Filteration</v>
      </c>
      <c r="J25" t="str">
        <f t="shared" si="1"/>
        <v/>
      </c>
    </row>
    <row r="26" spans="1:10" x14ac:dyDescent="0.3">
      <c r="A26" t="s">
        <v>74</v>
      </c>
      <c r="B26" s="2">
        <v>46195.453525456971</v>
      </c>
      <c r="C26" t="s">
        <v>8</v>
      </c>
      <c r="D26" t="s">
        <v>58</v>
      </c>
      <c r="E26" s="2">
        <v>46210.620192123642</v>
      </c>
      <c r="F26" t="s">
        <v>40</v>
      </c>
      <c r="G26" t="s">
        <v>37</v>
      </c>
      <c r="H26">
        <f t="shared" si="0"/>
        <v>1</v>
      </c>
      <c r="I26" t="str">
        <f>_xlfn.XLOOKUP(C26,Team_Legend!A:A,Team_Legend!B:B,"",0)</f>
        <v>Filteration</v>
      </c>
      <c r="J26" t="str">
        <f t="shared" si="1"/>
        <v>Converted - Owner not Sales</v>
      </c>
    </row>
    <row r="27" spans="1:10" x14ac:dyDescent="0.3">
      <c r="A27" t="s">
        <v>75</v>
      </c>
      <c r="B27" s="2">
        <v>46198.046015689302</v>
      </c>
      <c r="C27" t="s">
        <v>3</v>
      </c>
      <c r="D27" t="s">
        <v>43</v>
      </c>
      <c r="F27" t="s">
        <v>40</v>
      </c>
      <c r="G27" t="s">
        <v>41</v>
      </c>
      <c r="H27">
        <f t="shared" si="0"/>
        <v>0</v>
      </c>
      <c r="I27" t="str">
        <f>_xlfn.XLOOKUP(C27,Team_Legend!A:A,Team_Legend!B:B,"",0)</f>
        <v>Filteration</v>
      </c>
      <c r="J27" t="str">
        <f t="shared" si="1"/>
        <v/>
      </c>
    </row>
    <row r="28" spans="1:10" x14ac:dyDescent="0.3">
      <c r="A28" t="s">
        <v>76</v>
      </c>
      <c r="B28" s="2">
        <v>46197.615036067422</v>
      </c>
      <c r="C28" t="s">
        <v>10</v>
      </c>
      <c r="D28" t="s">
        <v>50</v>
      </c>
      <c r="F28" t="s">
        <v>40</v>
      </c>
      <c r="G28" t="s">
        <v>37</v>
      </c>
      <c r="H28">
        <f t="shared" si="0"/>
        <v>0</v>
      </c>
      <c r="I28" t="str">
        <f>_xlfn.XLOOKUP(C28,Team_Legend!A:A,Team_Legend!B:B,"",0)</f>
        <v>Filteration</v>
      </c>
      <c r="J28" t="str">
        <f t="shared" si="1"/>
        <v/>
      </c>
    </row>
    <row r="29" spans="1:10" x14ac:dyDescent="0.3">
      <c r="A29" t="s">
        <v>77</v>
      </c>
      <c r="B29" s="2">
        <v>46190.780552125107</v>
      </c>
      <c r="C29" t="s">
        <v>8</v>
      </c>
      <c r="D29" t="s">
        <v>29</v>
      </c>
      <c r="F29" t="s">
        <v>60</v>
      </c>
      <c r="G29" t="s">
        <v>31</v>
      </c>
      <c r="H29">
        <f t="shared" si="0"/>
        <v>0</v>
      </c>
      <c r="I29" t="str">
        <f>_xlfn.XLOOKUP(C29,Team_Legend!A:A,Team_Legend!B:B,"",0)</f>
        <v>Filteration</v>
      </c>
      <c r="J29" t="str">
        <f t="shared" si="1"/>
        <v/>
      </c>
    </row>
    <row r="30" spans="1:10" x14ac:dyDescent="0.3">
      <c r="A30" t="s">
        <v>78</v>
      </c>
      <c r="B30" s="2">
        <v>46202.490845095766</v>
      </c>
      <c r="C30" t="s">
        <v>3</v>
      </c>
      <c r="D30" t="s">
        <v>50</v>
      </c>
      <c r="F30" t="s">
        <v>40</v>
      </c>
      <c r="G30" t="s">
        <v>31</v>
      </c>
      <c r="H30">
        <f t="shared" si="0"/>
        <v>0</v>
      </c>
      <c r="I30" t="str">
        <f>_xlfn.XLOOKUP(C30,Team_Legend!A:A,Team_Legend!B:B,"",0)</f>
        <v>Filteration</v>
      </c>
      <c r="J30" t="str">
        <f t="shared" si="1"/>
        <v/>
      </c>
    </row>
    <row r="31" spans="1:10" x14ac:dyDescent="0.3">
      <c r="A31" t="s">
        <v>79</v>
      </c>
      <c r="B31" s="2">
        <v>46193.360503699667</v>
      </c>
      <c r="C31" t="s">
        <v>6</v>
      </c>
      <c r="D31" t="s">
        <v>43</v>
      </c>
      <c r="F31" t="s">
        <v>30</v>
      </c>
      <c r="G31" t="s">
        <v>41</v>
      </c>
      <c r="H31">
        <f t="shared" si="0"/>
        <v>0</v>
      </c>
      <c r="I31" t="str">
        <f>_xlfn.XLOOKUP(C31,Team_Legend!A:A,Team_Legend!B:B,"",0)</f>
        <v>Filteration</v>
      </c>
      <c r="J31" t="str">
        <f t="shared" si="1"/>
        <v/>
      </c>
    </row>
    <row r="32" spans="1:10" x14ac:dyDescent="0.3">
      <c r="A32" t="s">
        <v>80</v>
      </c>
      <c r="B32" s="2">
        <v>46193.469321949313</v>
      </c>
      <c r="C32" t="s">
        <v>6</v>
      </c>
      <c r="D32" t="s">
        <v>66</v>
      </c>
      <c r="F32" t="s">
        <v>44</v>
      </c>
      <c r="G32" t="s">
        <v>37</v>
      </c>
      <c r="H32">
        <f t="shared" si="0"/>
        <v>0</v>
      </c>
      <c r="I32" t="str">
        <f>_xlfn.XLOOKUP(C32,Team_Legend!A:A,Team_Legend!B:B,"",0)</f>
        <v>Filteration</v>
      </c>
      <c r="J32" t="str">
        <f t="shared" si="1"/>
        <v/>
      </c>
    </row>
    <row r="33" spans="1:10" x14ac:dyDescent="0.3">
      <c r="A33" t="s">
        <v>81</v>
      </c>
      <c r="B33" s="2">
        <v>46190.511695101959</v>
      </c>
      <c r="C33" t="s">
        <v>3</v>
      </c>
      <c r="D33" t="s">
        <v>82</v>
      </c>
      <c r="F33" t="s">
        <v>40</v>
      </c>
      <c r="G33" t="s">
        <v>31</v>
      </c>
      <c r="H33">
        <f t="shared" si="0"/>
        <v>0</v>
      </c>
      <c r="I33" t="str">
        <f>_xlfn.XLOOKUP(C33,Team_Legend!A:A,Team_Legend!B:B,"",0)</f>
        <v>Filteration</v>
      </c>
      <c r="J33" t="str">
        <f t="shared" si="1"/>
        <v/>
      </c>
    </row>
    <row r="34" spans="1:10" x14ac:dyDescent="0.3">
      <c r="A34" t="s">
        <v>83</v>
      </c>
      <c r="B34" s="2">
        <v>46206.587429269966</v>
      </c>
      <c r="C34" t="s">
        <v>3</v>
      </c>
      <c r="D34" t="s">
        <v>36</v>
      </c>
      <c r="F34" t="s">
        <v>30</v>
      </c>
      <c r="G34" t="s">
        <v>55</v>
      </c>
      <c r="H34">
        <f t="shared" si="0"/>
        <v>0</v>
      </c>
      <c r="I34" t="str">
        <f>_xlfn.XLOOKUP(C34,Team_Legend!A:A,Team_Legend!B:B,"",0)</f>
        <v>Filteration</v>
      </c>
      <c r="J34" t="str">
        <f t="shared" si="1"/>
        <v/>
      </c>
    </row>
    <row r="35" spans="1:10" x14ac:dyDescent="0.3">
      <c r="A35" t="s">
        <v>84</v>
      </c>
      <c r="B35" s="2">
        <v>46200.669246155441</v>
      </c>
      <c r="C35" t="s">
        <v>14</v>
      </c>
      <c r="D35" t="s">
        <v>46</v>
      </c>
      <c r="F35" t="s">
        <v>60</v>
      </c>
      <c r="G35" t="s">
        <v>31</v>
      </c>
      <c r="H35">
        <f t="shared" si="0"/>
        <v>0</v>
      </c>
      <c r="I35" t="str">
        <f>_xlfn.XLOOKUP(C35,Team_Legend!A:A,Team_Legend!B:B,"",0)</f>
        <v>Filteration</v>
      </c>
      <c r="J35" t="str">
        <f t="shared" si="1"/>
        <v/>
      </c>
    </row>
    <row r="36" spans="1:10" x14ac:dyDescent="0.3">
      <c r="A36" t="s">
        <v>85</v>
      </c>
      <c r="B36" s="2">
        <v>46182.767891534073</v>
      </c>
      <c r="C36" t="s">
        <v>7</v>
      </c>
      <c r="D36" t="s">
        <v>39</v>
      </c>
      <c r="F36" t="s">
        <v>30</v>
      </c>
      <c r="G36" t="s">
        <v>37</v>
      </c>
      <c r="H36">
        <f t="shared" si="0"/>
        <v>0</v>
      </c>
      <c r="I36" t="str">
        <f>_xlfn.XLOOKUP(C36,Team_Legend!A:A,Team_Legend!B:B,"",0)</f>
        <v>Sales</v>
      </c>
      <c r="J36" t="str">
        <f t="shared" si="1"/>
        <v/>
      </c>
    </row>
    <row r="37" spans="1:10" x14ac:dyDescent="0.3">
      <c r="A37" t="s">
        <v>86</v>
      </c>
      <c r="B37" s="2">
        <v>46205.589945701067</v>
      </c>
      <c r="C37" t="s">
        <v>8</v>
      </c>
      <c r="D37" t="s">
        <v>87</v>
      </c>
      <c r="F37" t="s">
        <v>44</v>
      </c>
      <c r="G37" t="s">
        <v>47</v>
      </c>
      <c r="H37">
        <f t="shared" si="0"/>
        <v>0</v>
      </c>
      <c r="I37" t="str">
        <f>_xlfn.XLOOKUP(C37,Team_Legend!A:A,Team_Legend!B:B,"",0)</f>
        <v>Filteration</v>
      </c>
      <c r="J37" t="str">
        <f t="shared" si="1"/>
        <v/>
      </c>
    </row>
    <row r="38" spans="1:10" x14ac:dyDescent="0.3">
      <c r="A38" t="s">
        <v>88</v>
      </c>
      <c r="B38" s="2">
        <v>46188.366047723241</v>
      </c>
      <c r="C38" t="s">
        <v>18</v>
      </c>
      <c r="D38" t="s">
        <v>72</v>
      </c>
      <c r="F38" t="s">
        <v>30</v>
      </c>
      <c r="G38" t="s">
        <v>47</v>
      </c>
      <c r="H38">
        <f t="shared" si="0"/>
        <v>0</v>
      </c>
      <c r="I38" t="str">
        <f>_xlfn.XLOOKUP(C38,Team_Legend!A:A,Team_Legend!B:B,"",0)</f>
        <v>Other / historical</v>
      </c>
      <c r="J38" t="str">
        <f t="shared" si="1"/>
        <v/>
      </c>
    </row>
    <row r="39" spans="1:10" x14ac:dyDescent="0.3">
      <c r="A39" t="s">
        <v>89</v>
      </c>
      <c r="B39" s="2">
        <v>46182.481843062953</v>
      </c>
      <c r="C39" t="s">
        <v>6</v>
      </c>
      <c r="D39" t="s">
        <v>33</v>
      </c>
      <c r="F39" t="s">
        <v>60</v>
      </c>
      <c r="G39" t="s">
        <v>37</v>
      </c>
      <c r="H39">
        <f t="shared" si="0"/>
        <v>0</v>
      </c>
      <c r="I39" t="str">
        <f>_xlfn.XLOOKUP(C39,Team_Legend!A:A,Team_Legend!B:B,"",0)</f>
        <v>Filteration</v>
      </c>
      <c r="J39" t="str">
        <f t="shared" si="1"/>
        <v/>
      </c>
    </row>
    <row r="40" spans="1:10" x14ac:dyDescent="0.3">
      <c r="A40" t="s">
        <v>90</v>
      </c>
      <c r="B40" s="2">
        <v>46209.618198630211</v>
      </c>
      <c r="C40" t="s">
        <v>8</v>
      </c>
      <c r="D40" t="s">
        <v>39</v>
      </c>
      <c r="F40" t="s">
        <v>40</v>
      </c>
      <c r="G40" t="s">
        <v>37</v>
      </c>
      <c r="H40">
        <f t="shared" si="0"/>
        <v>0</v>
      </c>
      <c r="I40" t="str">
        <f>_xlfn.XLOOKUP(C40,Team_Legend!A:A,Team_Legend!B:B,"",0)</f>
        <v>Filteration</v>
      </c>
      <c r="J40" t="str">
        <f t="shared" si="1"/>
        <v/>
      </c>
    </row>
    <row r="41" spans="1:10" x14ac:dyDescent="0.3">
      <c r="A41" t="s">
        <v>91</v>
      </c>
      <c r="B41" s="2">
        <v>46205.667303042741</v>
      </c>
      <c r="C41" t="s">
        <v>10</v>
      </c>
      <c r="D41" t="s">
        <v>43</v>
      </c>
      <c r="F41" t="s">
        <v>60</v>
      </c>
      <c r="G41" t="s">
        <v>31</v>
      </c>
      <c r="H41">
        <f t="shared" si="0"/>
        <v>0</v>
      </c>
      <c r="I41" t="str">
        <f>_xlfn.XLOOKUP(C41,Team_Legend!A:A,Team_Legend!B:B,"",0)</f>
        <v>Filteration</v>
      </c>
      <c r="J41" t="str">
        <f t="shared" si="1"/>
        <v/>
      </c>
    </row>
    <row r="42" spans="1:10" x14ac:dyDescent="0.3">
      <c r="A42" t="s">
        <v>92</v>
      </c>
      <c r="B42" s="2">
        <v>46195.398721468031</v>
      </c>
      <c r="C42" t="s">
        <v>3</v>
      </c>
      <c r="D42" t="s">
        <v>50</v>
      </c>
      <c r="F42" t="s">
        <v>30</v>
      </c>
      <c r="G42" t="s">
        <v>55</v>
      </c>
      <c r="H42">
        <f t="shared" si="0"/>
        <v>0</v>
      </c>
      <c r="I42" t="str">
        <f>_xlfn.XLOOKUP(C42,Team_Legend!A:A,Team_Legend!B:B,"",0)</f>
        <v>Filteration</v>
      </c>
      <c r="J42" t="str">
        <f t="shared" si="1"/>
        <v/>
      </c>
    </row>
    <row r="43" spans="1:10" x14ac:dyDescent="0.3">
      <c r="A43" t="s">
        <v>93</v>
      </c>
      <c r="B43" s="2">
        <v>46185.221682880292</v>
      </c>
      <c r="C43" t="s">
        <v>12</v>
      </c>
      <c r="D43" t="s">
        <v>43</v>
      </c>
      <c r="F43" t="s">
        <v>30</v>
      </c>
      <c r="G43" t="s">
        <v>37</v>
      </c>
      <c r="H43">
        <f t="shared" si="0"/>
        <v>0</v>
      </c>
      <c r="I43" t="str">
        <f>_xlfn.XLOOKUP(C43,Team_Legend!A:A,Team_Legend!B:B,"",0)</f>
        <v>Filteration</v>
      </c>
      <c r="J43" t="str">
        <f t="shared" si="1"/>
        <v/>
      </c>
    </row>
    <row r="44" spans="1:10" x14ac:dyDescent="0.3">
      <c r="A44" t="s">
        <v>94</v>
      </c>
      <c r="B44" s="2">
        <v>46185.261568804512</v>
      </c>
      <c r="C44" t="s">
        <v>3</v>
      </c>
      <c r="D44" t="s">
        <v>58</v>
      </c>
      <c r="E44" s="2">
        <v>46199.469902137847</v>
      </c>
      <c r="F44" t="s">
        <v>40</v>
      </c>
      <c r="G44" t="s">
        <v>55</v>
      </c>
      <c r="H44">
        <f t="shared" si="0"/>
        <v>1</v>
      </c>
      <c r="I44" t="str">
        <f>_xlfn.XLOOKUP(C44,Team_Legend!A:A,Team_Legend!B:B,"",0)</f>
        <v>Filteration</v>
      </c>
      <c r="J44" t="str">
        <f t="shared" si="1"/>
        <v>Converted - Owner not Sales</v>
      </c>
    </row>
    <row r="45" spans="1:10" x14ac:dyDescent="0.3">
      <c r="A45" t="s">
        <v>95</v>
      </c>
      <c r="B45" s="2">
        <v>46190.525957976541</v>
      </c>
      <c r="C45" t="s">
        <v>16</v>
      </c>
      <c r="D45" t="s">
        <v>72</v>
      </c>
      <c r="F45" t="s">
        <v>60</v>
      </c>
      <c r="G45" t="s">
        <v>47</v>
      </c>
      <c r="H45">
        <f t="shared" si="0"/>
        <v>0</v>
      </c>
      <c r="I45" t="str">
        <f>_xlfn.XLOOKUP(C45,Team_Legend!A:A,Team_Legend!B:B,"",0)</f>
        <v>Filteration</v>
      </c>
      <c r="J45" t="str">
        <f t="shared" si="1"/>
        <v/>
      </c>
    </row>
    <row r="46" spans="1:10" x14ac:dyDescent="0.3">
      <c r="A46" t="s">
        <v>96</v>
      </c>
      <c r="B46" s="2">
        <v>46203.480969823759</v>
      </c>
      <c r="C46" t="s">
        <v>14</v>
      </c>
      <c r="D46" t="s">
        <v>70</v>
      </c>
      <c r="F46" t="s">
        <v>30</v>
      </c>
      <c r="G46" t="s">
        <v>31</v>
      </c>
      <c r="H46">
        <f t="shared" si="0"/>
        <v>0</v>
      </c>
      <c r="I46" t="str">
        <f>_xlfn.XLOOKUP(C46,Team_Legend!A:A,Team_Legend!B:B,"",0)</f>
        <v>Filteration</v>
      </c>
      <c r="J46" t="str">
        <f t="shared" si="1"/>
        <v/>
      </c>
    </row>
    <row r="47" spans="1:10" x14ac:dyDescent="0.3">
      <c r="A47" t="s">
        <v>97</v>
      </c>
      <c r="B47" s="2">
        <v>46190.493315404798</v>
      </c>
      <c r="C47" t="s">
        <v>16</v>
      </c>
      <c r="D47" t="s">
        <v>70</v>
      </c>
      <c r="F47" t="s">
        <v>30</v>
      </c>
      <c r="G47" t="s">
        <v>37</v>
      </c>
      <c r="H47">
        <f t="shared" si="0"/>
        <v>0</v>
      </c>
      <c r="I47" t="str">
        <f>_xlfn.XLOOKUP(C47,Team_Legend!A:A,Team_Legend!B:B,"",0)</f>
        <v>Filteration</v>
      </c>
      <c r="J47" t="str">
        <f t="shared" si="1"/>
        <v/>
      </c>
    </row>
    <row r="48" spans="1:10" x14ac:dyDescent="0.3">
      <c r="A48" t="s">
        <v>98</v>
      </c>
      <c r="B48" s="2">
        <v>46197.46343552255</v>
      </c>
      <c r="C48" t="s">
        <v>16</v>
      </c>
      <c r="D48" t="s">
        <v>43</v>
      </c>
      <c r="F48" t="s">
        <v>30</v>
      </c>
      <c r="G48" t="s">
        <v>37</v>
      </c>
      <c r="H48">
        <f t="shared" si="0"/>
        <v>0</v>
      </c>
      <c r="I48" t="str">
        <f>_xlfn.XLOOKUP(C48,Team_Legend!A:A,Team_Legend!B:B,"",0)</f>
        <v>Filteration</v>
      </c>
      <c r="J48" t="str">
        <f t="shared" si="1"/>
        <v/>
      </c>
    </row>
    <row r="49" spans="1:10" x14ac:dyDescent="0.3">
      <c r="A49" t="s">
        <v>99</v>
      </c>
      <c r="B49" s="2">
        <v>46206.678681513869</v>
      </c>
      <c r="C49" t="s">
        <v>14</v>
      </c>
      <c r="D49" t="s">
        <v>43</v>
      </c>
      <c r="F49" t="s">
        <v>30</v>
      </c>
      <c r="G49" t="s">
        <v>37</v>
      </c>
      <c r="H49">
        <f t="shared" si="0"/>
        <v>0</v>
      </c>
      <c r="I49" t="str">
        <f>_xlfn.XLOOKUP(C49,Team_Legend!A:A,Team_Legend!B:B,"",0)</f>
        <v>Filteration</v>
      </c>
      <c r="J49" t="str">
        <f t="shared" si="1"/>
        <v/>
      </c>
    </row>
    <row r="50" spans="1:10" x14ac:dyDescent="0.3">
      <c r="A50" t="s">
        <v>100</v>
      </c>
      <c r="B50" s="2">
        <v>46190.832448245033</v>
      </c>
      <c r="C50" t="s">
        <v>16</v>
      </c>
      <c r="D50" t="s">
        <v>36</v>
      </c>
      <c r="F50" t="s">
        <v>30</v>
      </c>
      <c r="G50" t="s">
        <v>31</v>
      </c>
      <c r="H50">
        <f t="shared" si="0"/>
        <v>0</v>
      </c>
      <c r="I50" t="str">
        <f>_xlfn.XLOOKUP(C50,Team_Legend!A:A,Team_Legend!B:B,"",0)</f>
        <v>Filteration</v>
      </c>
      <c r="J50" t="str">
        <f t="shared" si="1"/>
        <v/>
      </c>
    </row>
    <row r="51" spans="1:10" x14ac:dyDescent="0.3">
      <c r="A51" t="s">
        <v>101</v>
      </c>
      <c r="B51" s="2">
        <v>46191.226236822768</v>
      </c>
      <c r="C51" t="s">
        <v>8</v>
      </c>
      <c r="D51" t="s">
        <v>33</v>
      </c>
      <c r="F51" t="s">
        <v>30</v>
      </c>
      <c r="G51" t="s">
        <v>37</v>
      </c>
      <c r="H51">
        <f t="shared" si="0"/>
        <v>0</v>
      </c>
      <c r="I51" t="str">
        <f>_xlfn.XLOOKUP(C51,Team_Legend!A:A,Team_Legend!B:B,"",0)</f>
        <v>Filteration</v>
      </c>
      <c r="J51" t="str">
        <f t="shared" si="1"/>
        <v/>
      </c>
    </row>
    <row r="52" spans="1:10" x14ac:dyDescent="0.3">
      <c r="A52" t="s">
        <v>102</v>
      </c>
      <c r="B52" s="2">
        <v>46185.746486348922</v>
      </c>
      <c r="C52" t="s">
        <v>3</v>
      </c>
      <c r="D52" t="s">
        <v>58</v>
      </c>
      <c r="E52" s="2">
        <v>46190.954819682258</v>
      </c>
      <c r="F52" t="s">
        <v>40</v>
      </c>
      <c r="G52" t="s">
        <v>37</v>
      </c>
      <c r="H52">
        <f t="shared" si="0"/>
        <v>1</v>
      </c>
      <c r="I52" t="str">
        <f>_xlfn.XLOOKUP(C52,Team_Legend!A:A,Team_Legend!B:B,"",0)</f>
        <v>Filteration</v>
      </c>
      <c r="J52" t="str">
        <f t="shared" si="1"/>
        <v>Converted - Owner not Sales</v>
      </c>
    </row>
    <row r="53" spans="1:10" x14ac:dyDescent="0.3">
      <c r="A53" t="s">
        <v>103</v>
      </c>
      <c r="B53" s="2">
        <v>46210.395513118019</v>
      </c>
      <c r="C53" t="s">
        <v>14</v>
      </c>
      <c r="F53" t="s">
        <v>40</v>
      </c>
      <c r="G53" t="s">
        <v>41</v>
      </c>
      <c r="H53">
        <f t="shared" si="0"/>
        <v>0</v>
      </c>
      <c r="I53" t="str">
        <f>_xlfn.XLOOKUP(C53,Team_Legend!A:A,Team_Legend!B:B,"",0)</f>
        <v>Filteration</v>
      </c>
      <c r="J53" t="str">
        <f t="shared" si="1"/>
        <v/>
      </c>
    </row>
    <row r="54" spans="1:10" x14ac:dyDescent="0.3">
      <c r="A54" t="s">
        <v>104</v>
      </c>
      <c r="B54" s="2">
        <v>46181.385059150518</v>
      </c>
      <c r="C54" t="s">
        <v>14</v>
      </c>
      <c r="D54" t="s">
        <v>70</v>
      </c>
      <c r="F54" t="s">
        <v>40</v>
      </c>
      <c r="G54" t="s">
        <v>31</v>
      </c>
      <c r="H54">
        <f t="shared" si="0"/>
        <v>0</v>
      </c>
      <c r="I54" t="str">
        <f>_xlfn.XLOOKUP(C54,Team_Legend!A:A,Team_Legend!B:B,"",0)</f>
        <v>Filteration</v>
      </c>
      <c r="J54" t="str">
        <f t="shared" si="1"/>
        <v/>
      </c>
    </row>
    <row r="55" spans="1:10" x14ac:dyDescent="0.3">
      <c r="A55" t="s">
        <v>105</v>
      </c>
      <c r="B55" s="2">
        <v>46198.407320745602</v>
      </c>
      <c r="C55" t="s">
        <v>20</v>
      </c>
      <c r="D55" t="s">
        <v>33</v>
      </c>
      <c r="F55" t="s">
        <v>30</v>
      </c>
      <c r="G55" t="s">
        <v>31</v>
      </c>
      <c r="H55">
        <f t="shared" si="0"/>
        <v>0</v>
      </c>
      <c r="I55" t="str">
        <f>_xlfn.XLOOKUP(C55,Team_Legend!A:A,Team_Legend!B:B,"",0)</f>
        <v>Other / historical</v>
      </c>
      <c r="J55" t="str">
        <f t="shared" si="1"/>
        <v/>
      </c>
    </row>
    <row r="56" spans="1:10" x14ac:dyDescent="0.3">
      <c r="A56" t="s">
        <v>106</v>
      </c>
      <c r="B56" s="2">
        <v>46203.787000799057</v>
      </c>
      <c r="C56" t="s">
        <v>10</v>
      </c>
      <c r="D56" t="s">
        <v>33</v>
      </c>
      <c r="F56" t="s">
        <v>40</v>
      </c>
      <c r="G56" t="s">
        <v>31</v>
      </c>
      <c r="H56">
        <f t="shared" si="0"/>
        <v>0</v>
      </c>
      <c r="I56" t="str">
        <f>_xlfn.XLOOKUP(C56,Team_Legend!A:A,Team_Legend!B:B,"",0)</f>
        <v>Filteration</v>
      </c>
      <c r="J56" t="str">
        <f t="shared" si="1"/>
        <v/>
      </c>
    </row>
    <row r="57" spans="1:10" x14ac:dyDescent="0.3">
      <c r="A57" t="s">
        <v>107</v>
      </c>
      <c r="B57" s="2">
        <v>46204.454007094952</v>
      </c>
      <c r="C57" t="s">
        <v>6</v>
      </c>
      <c r="D57" t="s">
        <v>46</v>
      </c>
      <c r="F57" t="s">
        <v>30</v>
      </c>
      <c r="G57" t="s">
        <v>47</v>
      </c>
      <c r="H57">
        <f t="shared" si="0"/>
        <v>0</v>
      </c>
      <c r="I57" t="str">
        <f>_xlfn.XLOOKUP(C57,Team_Legend!A:A,Team_Legend!B:B,"",0)</f>
        <v>Filteration</v>
      </c>
      <c r="J57" t="str">
        <f t="shared" si="1"/>
        <v/>
      </c>
    </row>
    <row r="58" spans="1:10" x14ac:dyDescent="0.3">
      <c r="A58" t="s">
        <v>108</v>
      </c>
      <c r="B58" s="2">
        <v>46196.31427107683</v>
      </c>
      <c r="C58" t="s">
        <v>10</v>
      </c>
      <c r="D58" t="s">
        <v>58</v>
      </c>
      <c r="E58" s="2">
        <v>46210.397604410173</v>
      </c>
      <c r="F58" t="s">
        <v>40</v>
      </c>
      <c r="G58" t="s">
        <v>31</v>
      </c>
      <c r="H58">
        <f t="shared" si="0"/>
        <v>1</v>
      </c>
      <c r="I58" t="str">
        <f>_xlfn.XLOOKUP(C58,Team_Legend!A:A,Team_Legend!B:B,"",0)</f>
        <v>Filteration</v>
      </c>
      <c r="J58" t="str">
        <f t="shared" si="1"/>
        <v>Converted - Owner not Sales</v>
      </c>
    </row>
    <row r="59" spans="1:10" x14ac:dyDescent="0.3">
      <c r="A59" t="s">
        <v>109</v>
      </c>
      <c r="B59" s="2">
        <v>46187.856637755649</v>
      </c>
      <c r="C59" t="s">
        <v>14</v>
      </c>
      <c r="D59" t="s">
        <v>58</v>
      </c>
      <c r="E59" s="2">
        <v>46192.106637755649</v>
      </c>
      <c r="F59" t="s">
        <v>40</v>
      </c>
      <c r="G59" t="s">
        <v>41</v>
      </c>
      <c r="H59">
        <f t="shared" si="0"/>
        <v>1</v>
      </c>
      <c r="I59" t="str">
        <f>_xlfn.XLOOKUP(C59,Team_Legend!A:A,Team_Legend!B:B,"",0)</f>
        <v>Filteration</v>
      </c>
      <c r="J59" t="str">
        <f t="shared" si="1"/>
        <v>Converted - Owner not Sales</v>
      </c>
    </row>
    <row r="60" spans="1:10" x14ac:dyDescent="0.3">
      <c r="A60" t="s">
        <v>110</v>
      </c>
      <c r="B60" s="2">
        <v>46195.564040363221</v>
      </c>
      <c r="C60" t="s">
        <v>8</v>
      </c>
      <c r="D60" t="s">
        <v>82</v>
      </c>
      <c r="F60" t="s">
        <v>44</v>
      </c>
      <c r="G60" t="s">
        <v>41</v>
      </c>
      <c r="H60">
        <f t="shared" si="0"/>
        <v>0</v>
      </c>
      <c r="I60" t="str">
        <f>_xlfn.XLOOKUP(C60,Team_Legend!A:A,Team_Legend!B:B,"",0)</f>
        <v>Filteration</v>
      </c>
      <c r="J60" t="str">
        <f t="shared" si="1"/>
        <v/>
      </c>
    </row>
    <row r="61" spans="1:10" x14ac:dyDescent="0.3">
      <c r="A61" t="s">
        <v>111</v>
      </c>
      <c r="B61" s="2">
        <v>46199.649062715907</v>
      </c>
      <c r="C61" t="s">
        <v>6</v>
      </c>
      <c r="D61" t="s">
        <v>43</v>
      </c>
      <c r="F61" t="s">
        <v>40</v>
      </c>
      <c r="G61" t="s">
        <v>41</v>
      </c>
      <c r="H61">
        <f t="shared" si="0"/>
        <v>0</v>
      </c>
      <c r="I61" t="str">
        <f>_xlfn.XLOOKUP(C61,Team_Legend!A:A,Team_Legend!B:B,"",0)</f>
        <v>Filteration</v>
      </c>
      <c r="J61" t="str">
        <f t="shared" si="1"/>
        <v/>
      </c>
    </row>
    <row r="62" spans="1:10" x14ac:dyDescent="0.3">
      <c r="A62" t="s">
        <v>112</v>
      </c>
      <c r="B62" s="2">
        <v>46186.23813978969</v>
      </c>
      <c r="C62" t="s">
        <v>16</v>
      </c>
      <c r="D62" t="s">
        <v>58</v>
      </c>
      <c r="E62" s="2">
        <v>46198.446473123018</v>
      </c>
      <c r="F62" t="s">
        <v>40</v>
      </c>
      <c r="G62" t="s">
        <v>47</v>
      </c>
      <c r="H62">
        <f t="shared" si="0"/>
        <v>1</v>
      </c>
      <c r="I62" t="str">
        <f>_xlfn.XLOOKUP(C62,Team_Legend!A:A,Team_Legend!B:B,"",0)</f>
        <v>Filteration</v>
      </c>
      <c r="J62" t="str">
        <f t="shared" si="1"/>
        <v>Converted - Owner not Sales</v>
      </c>
    </row>
    <row r="63" spans="1:10" x14ac:dyDescent="0.3">
      <c r="A63" t="s">
        <v>113</v>
      </c>
      <c r="B63" s="2">
        <v>46206.40559578198</v>
      </c>
      <c r="C63" t="s">
        <v>14</v>
      </c>
      <c r="D63" t="s">
        <v>66</v>
      </c>
      <c r="F63" t="s">
        <v>40</v>
      </c>
      <c r="G63" t="s">
        <v>41</v>
      </c>
      <c r="H63">
        <f t="shared" si="0"/>
        <v>0</v>
      </c>
      <c r="I63" t="str">
        <f>_xlfn.XLOOKUP(C63,Team_Legend!A:A,Team_Legend!B:B,"",0)</f>
        <v>Filteration</v>
      </c>
      <c r="J63" t="str">
        <f t="shared" si="1"/>
        <v/>
      </c>
    </row>
    <row r="64" spans="1:10" x14ac:dyDescent="0.3">
      <c r="A64" t="s">
        <v>114</v>
      </c>
      <c r="B64" s="2">
        <v>46182.439161048424</v>
      </c>
      <c r="C64" t="s">
        <v>3</v>
      </c>
      <c r="D64" t="s">
        <v>115</v>
      </c>
      <c r="E64" s="2">
        <v>46194.772494381759</v>
      </c>
      <c r="F64" t="s">
        <v>30</v>
      </c>
      <c r="G64" t="s">
        <v>41</v>
      </c>
      <c r="H64">
        <f t="shared" si="0"/>
        <v>1</v>
      </c>
      <c r="I64" t="str">
        <f>_xlfn.XLOOKUP(C64,Team_Legend!A:A,Team_Legend!B:B,"",0)</f>
        <v>Filteration</v>
      </c>
      <c r="J64" t="str">
        <f t="shared" si="1"/>
        <v>Converted - Owner not Sales</v>
      </c>
    </row>
    <row r="65" spans="1:10" x14ac:dyDescent="0.3">
      <c r="A65" t="s">
        <v>116</v>
      </c>
      <c r="B65" s="2">
        <v>46209.004425760613</v>
      </c>
      <c r="C65" t="s">
        <v>14</v>
      </c>
      <c r="D65" t="s">
        <v>117</v>
      </c>
      <c r="F65" t="s">
        <v>30</v>
      </c>
      <c r="G65" t="s">
        <v>47</v>
      </c>
      <c r="H65">
        <f t="shared" si="0"/>
        <v>0</v>
      </c>
      <c r="I65" t="str">
        <f>_xlfn.XLOOKUP(C65,Team_Legend!A:A,Team_Legend!B:B,"",0)</f>
        <v>Filteration</v>
      </c>
      <c r="J65" t="str">
        <f t="shared" si="1"/>
        <v/>
      </c>
    </row>
    <row r="66" spans="1:10" x14ac:dyDescent="0.3">
      <c r="A66" t="s">
        <v>118</v>
      </c>
      <c r="B66" s="2">
        <v>46205.411173710461</v>
      </c>
      <c r="C66" t="s">
        <v>10</v>
      </c>
      <c r="D66" t="s">
        <v>58</v>
      </c>
      <c r="E66" s="2">
        <v>46213.536173710461</v>
      </c>
      <c r="F66" t="s">
        <v>40</v>
      </c>
      <c r="G66" t="s">
        <v>47</v>
      </c>
      <c r="H66">
        <f t="shared" si="0"/>
        <v>1</v>
      </c>
      <c r="I66" t="str">
        <f>_xlfn.XLOOKUP(C66,Team_Legend!A:A,Team_Legend!B:B,"",0)</f>
        <v>Filteration</v>
      </c>
      <c r="J66" t="str">
        <f t="shared" si="1"/>
        <v>Converted - Owner not Sales</v>
      </c>
    </row>
    <row r="67" spans="1:10" x14ac:dyDescent="0.3">
      <c r="A67" t="s">
        <v>119</v>
      </c>
      <c r="B67" s="2">
        <v>46199.58017953566</v>
      </c>
      <c r="C67" t="s">
        <v>10</v>
      </c>
      <c r="D67" t="s">
        <v>29</v>
      </c>
      <c r="F67" t="s">
        <v>34</v>
      </c>
      <c r="G67" t="s">
        <v>41</v>
      </c>
      <c r="H67">
        <f t="shared" ref="H67:H101" si="2">IF(OR(E67&lt;&gt;"",D67="Verified", D67="Service Done"),1,0)</f>
        <v>0</v>
      </c>
      <c r="I67" t="str">
        <f>_xlfn.XLOOKUP(C67,Team_Legend!A:A,Team_Legend!B:B,"",0)</f>
        <v>Filteration</v>
      </c>
      <c r="J67" t="str">
        <f t="shared" ref="J67:J101" si="3">IF(H67=1,IF(I67="Sales","OK","Converted - Owner not Sales"),"")</f>
        <v/>
      </c>
    </row>
    <row r="68" spans="1:10" x14ac:dyDescent="0.3">
      <c r="A68" t="s">
        <v>120</v>
      </c>
      <c r="B68" s="2">
        <v>46193.759574605247</v>
      </c>
      <c r="C68" t="s">
        <v>16</v>
      </c>
      <c r="D68" t="s">
        <v>70</v>
      </c>
      <c r="F68" t="s">
        <v>40</v>
      </c>
      <c r="G68" t="s">
        <v>41</v>
      </c>
      <c r="H68">
        <f t="shared" si="2"/>
        <v>0</v>
      </c>
      <c r="I68" t="str">
        <f>_xlfn.XLOOKUP(C68,Team_Legend!A:A,Team_Legend!B:B,"",0)</f>
        <v>Filteration</v>
      </c>
      <c r="J68" t="str">
        <f t="shared" si="3"/>
        <v/>
      </c>
    </row>
    <row r="69" spans="1:10" x14ac:dyDescent="0.3">
      <c r="A69" t="s">
        <v>121</v>
      </c>
      <c r="B69" s="2">
        <v>46197.76877063205</v>
      </c>
      <c r="C69" t="s">
        <v>6</v>
      </c>
      <c r="D69" t="s">
        <v>72</v>
      </c>
      <c r="F69" t="s">
        <v>30</v>
      </c>
      <c r="G69" t="s">
        <v>55</v>
      </c>
      <c r="H69">
        <f t="shared" si="2"/>
        <v>0</v>
      </c>
      <c r="I69" t="str">
        <f>_xlfn.XLOOKUP(C69,Team_Legend!A:A,Team_Legend!B:B,"",0)</f>
        <v>Filteration</v>
      </c>
      <c r="J69" t="str">
        <f t="shared" si="3"/>
        <v/>
      </c>
    </row>
    <row r="70" spans="1:10" x14ac:dyDescent="0.3">
      <c r="A70" t="s">
        <v>122</v>
      </c>
      <c r="B70" s="2">
        <v>46198.52079478708</v>
      </c>
      <c r="C70" t="s">
        <v>8</v>
      </c>
      <c r="D70" t="s">
        <v>43</v>
      </c>
      <c r="F70" t="s">
        <v>30</v>
      </c>
      <c r="G70" t="s">
        <v>37</v>
      </c>
      <c r="H70">
        <f t="shared" si="2"/>
        <v>0</v>
      </c>
      <c r="I70" t="str">
        <f>_xlfn.XLOOKUP(C70,Team_Legend!A:A,Team_Legend!B:B,"",0)</f>
        <v>Filteration</v>
      </c>
      <c r="J70" t="str">
        <f t="shared" si="3"/>
        <v/>
      </c>
    </row>
    <row r="71" spans="1:10" x14ac:dyDescent="0.3">
      <c r="A71" t="s">
        <v>123</v>
      </c>
      <c r="B71" s="2">
        <v>46199.486547563007</v>
      </c>
      <c r="C71" t="s">
        <v>14</v>
      </c>
      <c r="D71" t="s">
        <v>50</v>
      </c>
      <c r="F71" t="s">
        <v>30</v>
      </c>
      <c r="G71" t="s">
        <v>31</v>
      </c>
      <c r="H71">
        <f t="shared" si="2"/>
        <v>0</v>
      </c>
      <c r="I71" t="str">
        <f>_xlfn.XLOOKUP(C71,Team_Legend!A:A,Team_Legend!B:B,"",0)</f>
        <v>Filteration</v>
      </c>
      <c r="J71" t="str">
        <f t="shared" si="3"/>
        <v/>
      </c>
    </row>
    <row r="72" spans="1:10" x14ac:dyDescent="0.3">
      <c r="A72" t="s">
        <v>124</v>
      </c>
      <c r="B72" s="2">
        <v>46196.495030679238</v>
      </c>
      <c r="C72" t="s">
        <v>12</v>
      </c>
      <c r="D72" t="s">
        <v>50</v>
      </c>
      <c r="F72" t="s">
        <v>60</v>
      </c>
      <c r="G72" t="s">
        <v>47</v>
      </c>
      <c r="H72">
        <f t="shared" si="2"/>
        <v>0</v>
      </c>
      <c r="I72" t="str">
        <f>_xlfn.XLOOKUP(C72,Team_Legend!A:A,Team_Legend!B:B,"",0)</f>
        <v>Filteration</v>
      </c>
      <c r="J72" t="str">
        <f t="shared" si="3"/>
        <v/>
      </c>
    </row>
    <row r="73" spans="1:10" x14ac:dyDescent="0.3">
      <c r="A73" t="s">
        <v>125</v>
      </c>
      <c r="B73" s="2">
        <v>46183.600599815822</v>
      </c>
      <c r="C73" t="s">
        <v>12</v>
      </c>
      <c r="D73" t="s">
        <v>43</v>
      </c>
      <c r="F73" t="s">
        <v>60</v>
      </c>
      <c r="G73" t="s">
        <v>41</v>
      </c>
      <c r="H73">
        <f t="shared" si="2"/>
        <v>0</v>
      </c>
      <c r="I73" t="str">
        <f>_xlfn.XLOOKUP(C73,Team_Legend!A:A,Team_Legend!B:B,"",0)</f>
        <v>Filteration</v>
      </c>
      <c r="J73" t="str">
        <f t="shared" si="3"/>
        <v/>
      </c>
    </row>
    <row r="74" spans="1:10" x14ac:dyDescent="0.3">
      <c r="A74" t="s">
        <v>126</v>
      </c>
      <c r="B74" s="2">
        <v>46206.336921514798</v>
      </c>
      <c r="C74" t="s">
        <v>8</v>
      </c>
      <c r="D74" t="s">
        <v>46</v>
      </c>
      <c r="F74" t="s">
        <v>40</v>
      </c>
      <c r="G74" t="s">
        <v>37</v>
      </c>
      <c r="H74">
        <f t="shared" si="2"/>
        <v>0</v>
      </c>
      <c r="I74" t="str">
        <f>_xlfn.XLOOKUP(C74,Team_Legend!A:A,Team_Legend!B:B,"",0)</f>
        <v>Filteration</v>
      </c>
      <c r="J74" t="str">
        <f t="shared" si="3"/>
        <v/>
      </c>
    </row>
    <row r="75" spans="1:10" x14ac:dyDescent="0.3">
      <c r="A75" t="s">
        <v>127</v>
      </c>
      <c r="B75" s="2">
        <v>46188.723444499279</v>
      </c>
      <c r="C75" t="s">
        <v>10</v>
      </c>
      <c r="D75" t="s">
        <v>54</v>
      </c>
      <c r="F75" t="s">
        <v>40</v>
      </c>
      <c r="G75" t="s">
        <v>41</v>
      </c>
      <c r="H75">
        <f t="shared" si="2"/>
        <v>0</v>
      </c>
      <c r="I75" t="str">
        <f>_xlfn.XLOOKUP(C75,Team_Legend!A:A,Team_Legend!B:B,"",0)</f>
        <v>Filteration</v>
      </c>
      <c r="J75" t="str">
        <f t="shared" si="3"/>
        <v/>
      </c>
    </row>
    <row r="76" spans="1:10" x14ac:dyDescent="0.3">
      <c r="A76" t="s">
        <v>128</v>
      </c>
      <c r="B76" s="2">
        <v>46198.579398844333</v>
      </c>
      <c r="C76" t="s">
        <v>10</v>
      </c>
      <c r="D76" t="s">
        <v>117</v>
      </c>
      <c r="F76" t="s">
        <v>40</v>
      </c>
      <c r="G76" t="s">
        <v>37</v>
      </c>
      <c r="H76">
        <f t="shared" si="2"/>
        <v>0</v>
      </c>
      <c r="I76" t="str">
        <f>_xlfn.XLOOKUP(C76,Team_Legend!A:A,Team_Legend!B:B,"",0)</f>
        <v>Filteration</v>
      </c>
      <c r="J76" t="str">
        <f t="shared" si="3"/>
        <v/>
      </c>
    </row>
    <row r="77" spans="1:10" x14ac:dyDescent="0.3">
      <c r="A77" t="s">
        <v>129</v>
      </c>
      <c r="B77" s="2">
        <v>46193.542724178733</v>
      </c>
      <c r="C77" t="s">
        <v>11</v>
      </c>
      <c r="D77" t="s">
        <v>66</v>
      </c>
      <c r="F77" t="s">
        <v>44</v>
      </c>
      <c r="G77" t="s">
        <v>31</v>
      </c>
      <c r="H77">
        <f t="shared" si="2"/>
        <v>0</v>
      </c>
      <c r="I77" t="str">
        <f>_xlfn.XLOOKUP(C77,Team_Legend!A:A,Team_Legend!B:B,"",0)</f>
        <v>Sales</v>
      </c>
      <c r="J77" t="str">
        <f t="shared" si="3"/>
        <v/>
      </c>
    </row>
    <row r="78" spans="1:10" x14ac:dyDescent="0.3">
      <c r="A78" t="s">
        <v>130</v>
      </c>
      <c r="B78" s="2">
        <v>46201.775715905773</v>
      </c>
      <c r="C78" t="s">
        <v>16</v>
      </c>
      <c r="D78" t="s">
        <v>58</v>
      </c>
      <c r="E78" s="2">
        <v>46205.817382572437</v>
      </c>
      <c r="F78" t="s">
        <v>30</v>
      </c>
      <c r="G78" t="s">
        <v>55</v>
      </c>
      <c r="H78">
        <f t="shared" si="2"/>
        <v>1</v>
      </c>
      <c r="I78" t="str">
        <f>_xlfn.XLOOKUP(C78,Team_Legend!A:A,Team_Legend!B:B,"",0)</f>
        <v>Filteration</v>
      </c>
      <c r="J78" t="str">
        <f t="shared" si="3"/>
        <v>Converted - Owner not Sales</v>
      </c>
    </row>
    <row r="79" spans="1:10" x14ac:dyDescent="0.3">
      <c r="A79" t="s">
        <v>131</v>
      </c>
      <c r="B79" s="2">
        <v>46186.726682269757</v>
      </c>
      <c r="C79" t="s">
        <v>7</v>
      </c>
      <c r="D79" t="s">
        <v>82</v>
      </c>
      <c r="F79" t="s">
        <v>40</v>
      </c>
      <c r="G79" t="s">
        <v>37</v>
      </c>
      <c r="H79">
        <f t="shared" si="2"/>
        <v>0</v>
      </c>
      <c r="I79" t="str">
        <f>_xlfn.XLOOKUP(C79,Team_Legend!A:A,Team_Legend!B:B,"",0)</f>
        <v>Sales</v>
      </c>
      <c r="J79" t="str">
        <f t="shared" si="3"/>
        <v/>
      </c>
    </row>
    <row r="80" spans="1:10" x14ac:dyDescent="0.3">
      <c r="A80" t="s">
        <v>132</v>
      </c>
      <c r="B80" s="2">
        <v>46183.453939357423</v>
      </c>
      <c r="C80" t="s">
        <v>12</v>
      </c>
      <c r="D80" t="s">
        <v>72</v>
      </c>
      <c r="F80" t="s">
        <v>40</v>
      </c>
      <c r="G80" t="s">
        <v>31</v>
      </c>
      <c r="H80">
        <f t="shared" si="2"/>
        <v>0</v>
      </c>
      <c r="I80" t="str">
        <f>_xlfn.XLOOKUP(C80,Team_Legend!A:A,Team_Legend!B:B,"",0)</f>
        <v>Filteration</v>
      </c>
      <c r="J80" t="str">
        <f t="shared" si="3"/>
        <v/>
      </c>
    </row>
    <row r="81" spans="1:10" x14ac:dyDescent="0.3">
      <c r="A81" t="s">
        <v>133</v>
      </c>
      <c r="B81" s="2">
        <v>46181.662179747058</v>
      </c>
      <c r="C81" t="s">
        <v>3</v>
      </c>
      <c r="D81" t="s">
        <v>43</v>
      </c>
      <c r="F81" t="s">
        <v>60</v>
      </c>
      <c r="G81" t="s">
        <v>55</v>
      </c>
      <c r="H81">
        <f t="shared" si="2"/>
        <v>0</v>
      </c>
      <c r="I81" t="str">
        <f>_xlfn.XLOOKUP(C81,Team_Legend!A:A,Team_Legend!B:B,"",0)</f>
        <v>Filteration</v>
      </c>
      <c r="J81" t="str">
        <f t="shared" si="3"/>
        <v/>
      </c>
    </row>
    <row r="82" spans="1:10" x14ac:dyDescent="0.3">
      <c r="A82" t="s">
        <v>134</v>
      </c>
      <c r="B82" s="2">
        <v>46208.416882639001</v>
      </c>
      <c r="C82" t="s">
        <v>3</v>
      </c>
      <c r="D82" t="s">
        <v>43</v>
      </c>
      <c r="F82" t="s">
        <v>30</v>
      </c>
      <c r="G82" t="s">
        <v>37</v>
      </c>
      <c r="H82">
        <f t="shared" si="2"/>
        <v>0</v>
      </c>
      <c r="I82" t="str">
        <f>_xlfn.XLOOKUP(C82,Team_Legend!A:A,Team_Legend!B:B,"",0)</f>
        <v>Filteration</v>
      </c>
      <c r="J82" t="str">
        <f t="shared" si="3"/>
        <v/>
      </c>
    </row>
    <row r="83" spans="1:10" x14ac:dyDescent="0.3">
      <c r="A83" t="s">
        <v>135</v>
      </c>
      <c r="B83" s="2">
        <v>46191.594116231972</v>
      </c>
      <c r="C83" t="s">
        <v>12</v>
      </c>
      <c r="D83" t="s">
        <v>70</v>
      </c>
      <c r="F83" t="s">
        <v>40</v>
      </c>
      <c r="G83" t="s">
        <v>31</v>
      </c>
      <c r="H83">
        <f t="shared" si="2"/>
        <v>0</v>
      </c>
      <c r="I83" t="str">
        <f>_xlfn.XLOOKUP(C83,Team_Legend!A:A,Team_Legend!B:B,"",0)</f>
        <v>Filteration</v>
      </c>
      <c r="J83" t="str">
        <f t="shared" si="3"/>
        <v/>
      </c>
    </row>
    <row r="84" spans="1:10" x14ac:dyDescent="0.3">
      <c r="A84" t="s">
        <v>136</v>
      </c>
      <c r="B84" s="2">
        <v>46209.524374846529</v>
      </c>
      <c r="C84" t="s">
        <v>12</v>
      </c>
      <c r="D84" t="s">
        <v>46</v>
      </c>
      <c r="F84" t="s">
        <v>40</v>
      </c>
      <c r="G84" t="s">
        <v>37</v>
      </c>
      <c r="H84">
        <f t="shared" si="2"/>
        <v>0</v>
      </c>
      <c r="I84" t="str">
        <f>_xlfn.XLOOKUP(C84,Team_Legend!A:A,Team_Legend!B:B,"",0)</f>
        <v>Filteration</v>
      </c>
      <c r="J84" t="str">
        <f t="shared" si="3"/>
        <v/>
      </c>
    </row>
    <row r="85" spans="1:10" x14ac:dyDescent="0.3">
      <c r="A85" t="s">
        <v>137</v>
      </c>
      <c r="B85" s="2">
        <v>46198.945261345762</v>
      </c>
      <c r="C85" t="s">
        <v>3</v>
      </c>
      <c r="D85" t="s">
        <v>58</v>
      </c>
      <c r="E85" s="2">
        <v>46213.278594679097</v>
      </c>
      <c r="F85" t="s">
        <v>40</v>
      </c>
      <c r="G85" t="s">
        <v>41</v>
      </c>
      <c r="H85">
        <f t="shared" si="2"/>
        <v>1</v>
      </c>
      <c r="I85" t="str">
        <f>_xlfn.XLOOKUP(C85,Team_Legend!A:A,Team_Legend!B:B,"",0)</f>
        <v>Filteration</v>
      </c>
      <c r="J85" t="str">
        <f t="shared" si="3"/>
        <v>Converted - Owner not Sales</v>
      </c>
    </row>
    <row r="86" spans="1:10" x14ac:dyDescent="0.3">
      <c r="A86" t="s">
        <v>138</v>
      </c>
      <c r="B86" s="2">
        <v>46187.530669863459</v>
      </c>
      <c r="C86" t="s">
        <v>8</v>
      </c>
      <c r="D86" t="s">
        <v>58</v>
      </c>
      <c r="E86" s="2">
        <v>46189.822336530116</v>
      </c>
      <c r="F86" t="s">
        <v>40</v>
      </c>
      <c r="G86" t="s">
        <v>41</v>
      </c>
      <c r="H86">
        <f t="shared" si="2"/>
        <v>1</v>
      </c>
      <c r="I86" t="str">
        <f>_xlfn.XLOOKUP(C86,Team_Legend!A:A,Team_Legend!B:B,"",0)</f>
        <v>Filteration</v>
      </c>
      <c r="J86" t="str">
        <f t="shared" si="3"/>
        <v>Converted - Owner not Sales</v>
      </c>
    </row>
    <row r="87" spans="1:10" x14ac:dyDescent="0.3">
      <c r="A87" t="s">
        <v>139</v>
      </c>
      <c r="B87" s="2">
        <v>46191.639953801787</v>
      </c>
      <c r="C87" t="s">
        <v>5</v>
      </c>
      <c r="D87" t="s">
        <v>54</v>
      </c>
      <c r="F87" t="s">
        <v>44</v>
      </c>
      <c r="G87" t="s">
        <v>41</v>
      </c>
      <c r="H87">
        <f t="shared" si="2"/>
        <v>0</v>
      </c>
      <c r="I87" t="str">
        <f>_xlfn.XLOOKUP(C87,Team_Legend!A:A,Team_Legend!B:B,"",0)</f>
        <v>Sales</v>
      </c>
      <c r="J87" t="str">
        <f t="shared" si="3"/>
        <v/>
      </c>
    </row>
    <row r="88" spans="1:10" x14ac:dyDescent="0.3">
      <c r="A88" t="s">
        <v>140</v>
      </c>
      <c r="B88" s="2">
        <v>46182.608837864813</v>
      </c>
      <c r="C88" t="s">
        <v>18</v>
      </c>
      <c r="D88" t="s">
        <v>72</v>
      </c>
      <c r="F88" t="s">
        <v>40</v>
      </c>
      <c r="G88" t="s">
        <v>31</v>
      </c>
      <c r="H88">
        <f t="shared" si="2"/>
        <v>0</v>
      </c>
      <c r="I88" t="str">
        <f>_xlfn.XLOOKUP(C88,Team_Legend!A:A,Team_Legend!B:B,"",0)</f>
        <v>Other / historical</v>
      </c>
      <c r="J88" t="str">
        <f t="shared" si="3"/>
        <v/>
      </c>
    </row>
    <row r="89" spans="1:10" x14ac:dyDescent="0.3">
      <c r="A89" t="s">
        <v>141</v>
      </c>
      <c r="B89" s="2">
        <v>46205.504342681088</v>
      </c>
      <c r="C89" t="s">
        <v>16</v>
      </c>
      <c r="D89" t="s">
        <v>33</v>
      </c>
      <c r="F89" t="s">
        <v>60</v>
      </c>
      <c r="G89" t="s">
        <v>41</v>
      </c>
      <c r="H89">
        <f t="shared" si="2"/>
        <v>0</v>
      </c>
      <c r="I89" t="str">
        <f>_xlfn.XLOOKUP(C89,Team_Legend!A:A,Team_Legend!B:B,"",0)</f>
        <v>Filteration</v>
      </c>
      <c r="J89" t="str">
        <f t="shared" si="3"/>
        <v/>
      </c>
    </row>
    <row r="90" spans="1:10" x14ac:dyDescent="0.3">
      <c r="A90" t="s">
        <v>142</v>
      </c>
      <c r="B90" s="2">
        <v>46192.476580587303</v>
      </c>
      <c r="C90" t="s">
        <v>12</v>
      </c>
      <c r="D90" t="s">
        <v>87</v>
      </c>
      <c r="F90" t="s">
        <v>40</v>
      </c>
      <c r="G90" t="s">
        <v>37</v>
      </c>
      <c r="H90">
        <f t="shared" si="2"/>
        <v>0</v>
      </c>
      <c r="I90" t="str">
        <f>_xlfn.XLOOKUP(C90,Team_Legend!A:A,Team_Legend!B:B,"",0)</f>
        <v>Filteration</v>
      </c>
      <c r="J90" t="str">
        <f t="shared" si="3"/>
        <v/>
      </c>
    </row>
    <row r="91" spans="1:10" x14ac:dyDescent="0.3">
      <c r="A91" t="s">
        <v>143</v>
      </c>
      <c r="B91" s="2">
        <v>46201.720472661073</v>
      </c>
      <c r="C91" t="s">
        <v>14</v>
      </c>
      <c r="D91" t="s">
        <v>33</v>
      </c>
      <c r="F91" t="s">
        <v>60</v>
      </c>
      <c r="G91" t="s">
        <v>37</v>
      </c>
      <c r="H91">
        <f t="shared" si="2"/>
        <v>0</v>
      </c>
      <c r="I91" t="str">
        <f>_xlfn.XLOOKUP(C91,Team_Legend!A:A,Team_Legend!B:B,"",0)</f>
        <v>Filteration</v>
      </c>
      <c r="J91" t="str">
        <f t="shared" si="3"/>
        <v/>
      </c>
    </row>
    <row r="92" spans="1:10" x14ac:dyDescent="0.3">
      <c r="A92" t="s">
        <v>144</v>
      </c>
      <c r="B92" s="2">
        <v>46196.744560855637</v>
      </c>
      <c r="C92" t="s">
        <v>12</v>
      </c>
      <c r="F92" t="s">
        <v>40</v>
      </c>
      <c r="G92" t="s">
        <v>37</v>
      </c>
      <c r="H92">
        <f t="shared" si="2"/>
        <v>0</v>
      </c>
      <c r="I92" t="str">
        <f>_xlfn.XLOOKUP(C92,Team_Legend!A:A,Team_Legend!B:B,"",0)</f>
        <v>Filteration</v>
      </c>
      <c r="J92" t="str">
        <f t="shared" si="3"/>
        <v/>
      </c>
    </row>
    <row r="93" spans="1:10" x14ac:dyDescent="0.3">
      <c r="A93" t="s">
        <v>145</v>
      </c>
      <c r="B93" s="2">
        <v>46189.493823700926</v>
      </c>
      <c r="C93" t="s">
        <v>6</v>
      </c>
      <c r="D93" t="s">
        <v>36</v>
      </c>
      <c r="F93" t="s">
        <v>30</v>
      </c>
      <c r="G93" t="s">
        <v>41</v>
      </c>
      <c r="H93">
        <f t="shared" si="2"/>
        <v>0</v>
      </c>
      <c r="I93" t="str">
        <f>_xlfn.XLOOKUP(C93,Team_Legend!A:A,Team_Legend!B:B,"",0)</f>
        <v>Filteration</v>
      </c>
      <c r="J93" t="str">
        <f t="shared" si="3"/>
        <v/>
      </c>
    </row>
    <row r="94" spans="1:10" x14ac:dyDescent="0.3">
      <c r="A94" t="s">
        <v>146</v>
      </c>
      <c r="B94" s="2">
        <v>46183.558849828987</v>
      </c>
      <c r="C94" t="s">
        <v>16</v>
      </c>
      <c r="D94" t="s">
        <v>87</v>
      </c>
      <c r="F94" t="s">
        <v>34</v>
      </c>
      <c r="G94" t="s">
        <v>37</v>
      </c>
      <c r="H94">
        <f t="shared" si="2"/>
        <v>0</v>
      </c>
      <c r="I94" t="str">
        <f>_xlfn.XLOOKUP(C94,Team_Legend!A:A,Team_Legend!B:B,"",0)</f>
        <v>Filteration</v>
      </c>
      <c r="J94" t="str">
        <f t="shared" si="3"/>
        <v/>
      </c>
    </row>
    <row r="95" spans="1:10" x14ac:dyDescent="0.3">
      <c r="A95" t="s">
        <v>147</v>
      </c>
      <c r="B95" s="2">
        <v>46186.737937145597</v>
      </c>
      <c r="C95" t="s">
        <v>10</v>
      </c>
      <c r="D95" t="s">
        <v>87</v>
      </c>
      <c r="F95" t="s">
        <v>30</v>
      </c>
      <c r="G95" t="s">
        <v>41</v>
      </c>
      <c r="H95">
        <f t="shared" si="2"/>
        <v>0</v>
      </c>
      <c r="I95" t="str">
        <f>_xlfn.XLOOKUP(C95,Team_Legend!A:A,Team_Legend!B:B,"",0)</f>
        <v>Filteration</v>
      </c>
      <c r="J95" t="str">
        <f t="shared" si="3"/>
        <v/>
      </c>
    </row>
    <row r="96" spans="1:10" x14ac:dyDescent="0.3">
      <c r="A96" t="s">
        <v>148</v>
      </c>
      <c r="B96" s="2">
        <v>46195.620443877167</v>
      </c>
      <c r="C96" t="s">
        <v>14</v>
      </c>
      <c r="D96" t="s">
        <v>43</v>
      </c>
      <c r="F96" t="s">
        <v>30</v>
      </c>
      <c r="G96" t="s">
        <v>31</v>
      </c>
      <c r="H96">
        <f t="shared" si="2"/>
        <v>0</v>
      </c>
      <c r="I96" t="str">
        <f>_xlfn.XLOOKUP(C96,Team_Legend!A:A,Team_Legend!B:B,"",0)</f>
        <v>Filteration</v>
      </c>
      <c r="J96" t="str">
        <f t="shared" si="3"/>
        <v/>
      </c>
    </row>
    <row r="97" spans="1:10" x14ac:dyDescent="0.3">
      <c r="A97" t="s">
        <v>149</v>
      </c>
      <c r="B97" s="2">
        <v>46190.855819023389</v>
      </c>
      <c r="C97" t="s">
        <v>8</v>
      </c>
      <c r="D97" t="s">
        <v>58</v>
      </c>
      <c r="E97" s="2">
        <v>46198.064152356717</v>
      </c>
      <c r="F97" t="s">
        <v>44</v>
      </c>
      <c r="G97" t="s">
        <v>31</v>
      </c>
      <c r="H97">
        <f t="shared" si="2"/>
        <v>1</v>
      </c>
      <c r="I97" t="str">
        <f>_xlfn.XLOOKUP(C97,Team_Legend!A:A,Team_Legend!B:B,"",0)</f>
        <v>Filteration</v>
      </c>
      <c r="J97" t="str">
        <f t="shared" si="3"/>
        <v>Converted - Owner not Sales</v>
      </c>
    </row>
    <row r="98" spans="1:10" x14ac:dyDescent="0.3">
      <c r="A98" t="s">
        <v>150</v>
      </c>
      <c r="B98" s="2">
        <v>46185.733069370523</v>
      </c>
      <c r="C98" t="s">
        <v>16</v>
      </c>
      <c r="D98" t="s">
        <v>54</v>
      </c>
      <c r="F98" t="s">
        <v>44</v>
      </c>
      <c r="G98" t="s">
        <v>55</v>
      </c>
      <c r="H98">
        <f t="shared" si="2"/>
        <v>0</v>
      </c>
      <c r="I98" t="str">
        <f>_xlfn.XLOOKUP(C98,Team_Legend!A:A,Team_Legend!B:B,"",0)</f>
        <v>Filteration</v>
      </c>
      <c r="J98" t="str">
        <f t="shared" si="3"/>
        <v/>
      </c>
    </row>
    <row r="99" spans="1:10" x14ac:dyDescent="0.3">
      <c r="A99" t="s">
        <v>151</v>
      </c>
      <c r="B99" s="2">
        <v>46205.604774790569</v>
      </c>
      <c r="C99" t="s">
        <v>12</v>
      </c>
      <c r="D99" t="s">
        <v>115</v>
      </c>
      <c r="E99" s="2">
        <v>46209.854774790569</v>
      </c>
      <c r="F99" t="s">
        <v>40</v>
      </c>
      <c r="G99" t="s">
        <v>37</v>
      </c>
      <c r="H99">
        <f t="shared" si="2"/>
        <v>1</v>
      </c>
      <c r="I99" t="str">
        <f>_xlfn.XLOOKUP(C99,Team_Legend!A:A,Team_Legend!B:B,"",0)</f>
        <v>Filteration</v>
      </c>
      <c r="J99" t="str">
        <f t="shared" si="3"/>
        <v>Converted - Owner not Sales</v>
      </c>
    </row>
    <row r="100" spans="1:10" x14ac:dyDescent="0.3">
      <c r="A100" t="s">
        <v>152</v>
      </c>
      <c r="B100" s="2">
        <v>46207.622691832497</v>
      </c>
      <c r="C100" t="s">
        <v>6</v>
      </c>
      <c r="D100" t="s">
        <v>115</v>
      </c>
      <c r="E100" s="2">
        <v>46213.706025165833</v>
      </c>
      <c r="F100" t="s">
        <v>40</v>
      </c>
      <c r="G100" t="s">
        <v>55</v>
      </c>
      <c r="H100">
        <f t="shared" si="2"/>
        <v>1</v>
      </c>
      <c r="I100" t="str">
        <f>_xlfn.XLOOKUP(C100,Team_Legend!A:A,Team_Legend!B:B,"",0)</f>
        <v>Filteration</v>
      </c>
      <c r="J100" t="str">
        <f t="shared" si="3"/>
        <v>Converted - Owner not Sales</v>
      </c>
    </row>
    <row r="101" spans="1:10" x14ac:dyDescent="0.3">
      <c r="A101" t="s">
        <v>153</v>
      </c>
      <c r="B101" s="2">
        <v>46196.528552610187</v>
      </c>
      <c r="C101" t="s">
        <v>6</v>
      </c>
      <c r="D101" t="s">
        <v>70</v>
      </c>
      <c r="F101" t="s">
        <v>34</v>
      </c>
      <c r="G101" t="s">
        <v>41</v>
      </c>
      <c r="H101">
        <f t="shared" si="2"/>
        <v>0</v>
      </c>
      <c r="I101" t="str">
        <f>_xlfn.XLOOKUP(C101,Team_Legend!A:A,Team_Legend!B:B,"",0)</f>
        <v>Filteration</v>
      </c>
      <c r="J101" t="str">
        <f t="shared" si="3"/>
        <v/>
      </c>
    </row>
  </sheetData>
  <autoFilter ref="A1:J101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27" sqref="C26:C27"/>
    </sheetView>
  </sheetViews>
  <sheetFormatPr defaultColWidth="8.77734375" defaultRowHeight="14.4" x14ac:dyDescent="0.3"/>
  <cols>
    <col min="1" max="1" width="15" customWidth="1"/>
    <col min="2" max="2" width="20" customWidth="1"/>
    <col min="3" max="3" width="3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15</v>
      </c>
    </row>
    <row r="9" spans="1:3" x14ac:dyDescent="0.3">
      <c r="A9" t="s">
        <v>5</v>
      </c>
      <c r="B9" t="s">
        <v>17</v>
      </c>
    </row>
    <row r="10" spans="1:3" x14ac:dyDescent="0.3">
      <c r="A10" t="s">
        <v>7</v>
      </c>
      <c r="B10" t="s">
        <v>17</v>
      </c>
    </row>
    <row r="11" spans="1:3" x14ac:dyDescent="0.3">
      <c r="A11" t="s">
        <v>9</v>
      </c>
      <c r="B11" t="s">
        <v>17</v>
      </c>
    </row>
    <row r="12" spans="1:3" x14ac:dyDescent="0.3">
      <c r="A12" t="s">
        <v>11</v>
      </c>
      <c r="B12" t="s">
        <v>17</v>
      </c>
    </row>
    <row r="13" spans="1:3" x14ac:dyDescent="0.3">
      <c r="A13" t="s">
        <v>13</v>
      </c>
      <c r="B13" t="s">
        <v>17</v>
      </c>
    </row>
    <row r="14" spans="1:3" x14ac:dyDescent="0.3">
      <c r="A14" t="s">
        <v>15</v>
      </c>
      <c r="B14" t="s">
        <v>17</v>
      </c>
    </row>
    <row r="15" spans="1:3" x14ac:dyDescent="0.3">
      <c r="A15" t="s">
        <v>18</v>
      </c>
      <c r="B15" t="s">
        <v>19</v>
      </c>
    </row>
    <row r="16" spans="1:3" x14ac:dyDescent="0.3">
      <c r="A16" t="s">
        <v>20</v>
      </c>
      <c r="B16" t="s">
        <v>19</v>
      </c>
    </row>
  </sheetData>
  <autoFilter ref="A1:C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"/>
  <sheetViews>
    <sheetView workbookViewId="0">
      <selection activeCell="K2" sqref="K2"/>
    </sheetView>
  </sheetViews>
  <sheetFormatPr defaultColWidth="8.77734375" defaultRowHeight="14.4" x14ac:dyDescent="0.3"/>
  <cols>
    <col min="1" max="1" width="11" customWidth="1"/>
    <col min="2" max="2" width="12" customWidth="1"/>
    <col min="3" max="9" width="18" customWidth="1"/>
    <col min="10" max="10" width="30.6640625" bestFit="1" customWidth="1"/>
    <col min="11" max="11" width="15.33203125" bestFit="1" customWidth="1"/>
    <col min="12" max="12" width="14.33203125" bestFit="1" customWidth="1"/>
  </cols>
  <sheetData>
    <row r="1" spans="1:12" x14ac:dyDescent="0.3">
      <c r="A1" s="1" t="s">
        <v>21</v>
      </c>
      <c r="B1" s="1" t="s">
        <v>23</v>
      </c>
      <c r="C1" s="1" t="s">
        <v>154</v>
      </c>
      <c r="D1" s="1" t="s">
        <v>155</v>
      </c>
      <c r="E1" s="1" t="s">
        <v>156</v>
      </c>
      <c r="F1" s="1" t="s">
        <v>117</v>
      </c>
      <c r="G1" s="1" t="s">
        <v>54</v>
      </c>
      <c r="H1" s="1" t="s">
        <v>58</v>
      </c>
      <c r="I1" s="1" t="s">
        <v>115</v>
      </c>
      <c r="J1" s="44" t="s">
        <v>229</v>
      </c>
      <c r="K1" s="44" t="s">
        <v>223</v>
      </c>
      <c r="L1" s="44" t="s">
        <v>222</v>
      </c>
    </row>
    <row r="2" spans="1:12" x14ac:dyDescent="0.3">
      <c r="A2" t="s">
        <v>28</v>
      </c>
      <c r="B2" t="s">
        <v>12</v>
      </c>
      <c r="C2" s="2">
        <v>46207.579933543668</v>
      </c>
      <c r="D2" s="2">
        <v>46207.593822432558</v>
      </c>
      <c r="E2" s="2">
        <v>46208.968822432558</v>
      </c>
      <c r="J2" s="43">
        <f>IF(D2="","",ROUND(24*MAX(0,(NETWORKDAYS.INTL(INT(C2),INT(D2),11)-1)*(TIME(18,30,0)-TIME(10,0,0))+IF(NETWORKDAYS.INTL(INT(D2),INT(D2),11),MEDIAN(MOD(D2,1),TIME(18,30,0),TIME(10,0,0)),TIME(18,30,0))-IF(NETWORKDAYS.INTL(INT(C2),INT(C2),11),MEDIAN(MOD(C2,1),TIME(18,30,0),TIME(10,0,0)),TIME(10,0,0))),4))</f>
        <v>0.33329999999999999</v>
      </c>
      <c r="K2" t="str" cm="1">
        <f t="array" ref="K2">IF(D2="","No Call",_xlfn.IFS(J2&lt;=0.25,"&lt;=15 min",J2&lt;=0.5,"16-30 min",J2&lt;=1,"31-60 min",TRUE,"&gt;60 min"))</f>
        <v>16-30 min</v>
      </c>
      <c r="L2">
        <f>_xlfn.XLOOKUP(A2,Lead_Data!A:A,Lead_Data!H:H,0)</f>
        <v>0</v>
      </c>
    </row>
    <row r="3" spans="1:12" x14ac:dyDescent="0.3">
      <c r="A3" t="s">
        <v>32</v>
      </c>
      <c r="B3" t="s">
        <v>16</v>
      </c>
      <c r="C3" s="2">
        <v>46192.369519727763</v>
      </c>
      <c r="D3" s="2">
        <v>46192.446533616647</v>
      </c>
      <c r="J3" s="43">
        <f t="shared" ref="J3:J66" si="0">IF(D3="","",ROUND(24*MAX(0,(NETWORKDAYS.INTL(INT(C3),INT(D3),11)-1)*(TIME(18,30,0)-TIME(10,0,0))+IF(NETWORKDAYS.INTL(INT(D3),INT(D3),11),MEDIAN(MOD(D3,1),TIME(18,30,0),TIME(10,0,0)),TIME(18,30,0))-IF(NETWORKDAYS.INTL(INT(C3),INT(C3),11),MEDIAN(MOD(C3,1),TIME(18,30,0),TIME(10,0,0)),TIME(10,0,0))),4))</f>
        <v>0.71679999999999999</v>
      </c>
      <c r="K3" t="str" cm="1">
        <f t="array" ref="K3">IF(D3="","No Call",_xlfn.IFS(J3&lt;=0.25,"&lt;=15 min",J3&lt;=0.5,"16-30 min",J3&lt;=1,"31-60 min",TRUE,"&gt;60 min"))</f>
        <v>31-60 min</v>
      </c>
      <c r="L3">
        <f>_xlfn.XLOOKUP(A3,Lead_Data!A:A,Lead_Data!H:H,0)</f>
        <v>0</v>
      </c>
    </row>
    <row r="4" spans="1:12" x14ac:dyDescent="0.3">
      <c r="A4" t="s">
        <v>35</v>
      </c>
      <c r="B4" t="s">
        <v>14</v>
      </c>
      <c r="C4" s="2">
        <v>46203.957893924511</v>
      </c>
      <c r="D4" s="2">
        <v>46204.435417072673</v>
      </c>
      <c r="J4" s="43">
        <f t="shared" si="0"/>
        <v>0.45</v>
      </c>
      <c r="K4" t="str" cm="1">
        <f t="array" ref="K4">IF(D4="","No Call",_xlfn.IFS(J4&lt;=0.25,"&lt;=15 min",J4&lt;=0.5,"16-30 min",J4&lt;=1,"31-60 min",TRUE,"&gt;60 min"))</f>
        <v>16-30 min</v>
      </c>
      <c r="L4">
        <f>_xlfn.XLOOKUP(A4,Lead_Data!A:A,Lead_Data!H:H,0)</f>
        <v>0</v>
      </c>
    </row>
    <row r="5" spans="1:12" x14ac:dyDescent="0.3">
      <c r="A5" t="s">
        <v>38</v>
      </c>
      <c r="B5" t="s">
        <v>8</v>
      </c>
      <c r="C5" s="2">
        <v>46202.404002096438</v>
      </c>
      <c r="D5" s="2">
        <v>46202.422231263103</v>
      </c>
      <c r="E5" s="2">
        <v>46202.672231263103</v>
      </c>
      <c r="F5" s="2">
        <v>46202.547231263103</v>
      </c>
      <c r="G5" s="2">
        <v>46202.630564596438</v>
      </c>
      <c r="J5" s="43">
        <f t="shared" si="0"/>
        <v>0.1336</v>
      </c>
      <c r="K5" t="str" cm="1">
        <f t="array" ref="K5">IF(D5="","No Call",_xlfn.IFS(J5&lt;=0.25,"&lt;=15 min",J5&lt;=0.5,"16-30 min",J5&lt;=1,"31-60 min",TRUE,"&gt;60 min"))</f>
        <v>&lt;=15 min</v>
      </c>
      <c r="L5">
        <f>_xlfn.XLOOKUP(A5,Lead_Data!A:A,Lead_Data!H:H,0)</f>
        <v>0</v>
      </c>
    </row>
    <row r="6" spans="1:12" x14ac:dyDescent="0.3">
      <c r="A6" t="s">
        <v>42</v>
      </c>
      <c r="B6" t="s">
        <v>16</v>
      </c>
      <c r="C6" s="2">
        <v>46208.579948512619</v>
      </c>
      <c r="D6" s="2">
        <v>46209.417367494098</v>
      </c>
      <c r="E6" s="2">
        <v>46210.750700827433</v>
      </c>
      <c r="J6" s="43">
        <f t="shared" si="0"/>
        <v>1.6799999999999999E-2</v>
      </c>
      <c r="K6" t="str" cm="1">
        <f t="array" ref="K6">IF(D6="","No Call",_xlfn.IFS(J6&lt;=0.25,"&lt;=15 min",J6&lt;=0.5,"16-30 min",J6&lt;=1,"31-60 min",TRUE,"&gt;60 min"))</f>
        <v>&lt;=15 min</v>
      </c>
      <c r="L6">
        <f>_xlfn.XLOOKUP(A6,Lead_Data!A:A,Lead_Data!H:H,0)</f>
        <v>0</v>
      </c>
    </row>
    <row r="7" spans="1:12" x14ac:dyDescent="0.3">
      <c r="A7" t="s">
        <v>45</v>
      </c>
      <c r="B7" t="s">
        <v>3</v>
      </c>
      <c r="C7" s="2">
        <v>46198.812878909361</v>
      </c>
      <c r="D7" s="2">
        <v>46199.425702983441</v>
      </c>
      <c r="E7" s="2">
        <v>46200.759036316769</v>
      </c>
      <c r="J7" s="43">
        <f t="shared" si="0"/>
        <v>0.21690000000000001</v>
      </c>
      <c r="K7" t="str" cm="1">
        <f t="array" ref="K7">IF(D7="","No Call",_xlfn.IFS(J7&lt;=0.25,"&lt;=15 min",J7&lt;=0.5,"16-30 min",J7&lt;=1,"31-60 min",TRUE,"&gt;60 min"))</f>
        <v>&lt;=15 min</v>
      </c>
      <c r="L7">
        <f>_xlfn.XLOOKUP(A7,Lead_Data!A:A,Lead_Data!H:H,0)</f>
        <v>0</v>
      </c>
    </row>
    <row r="8" spans="1:12" x14ac:dyDescent="0.3">
      <c r="A8" t="s">
        <v>48</v>
      </c>
      <c r="B8" t="s">
        <v>3</v>
      </c>
      <c r="C8" s="2">
        <v>46207.521481737589</v>
      </c>
      <c r="D8" s="2">
        <v>46207.526342848701</v>
      </c>
      <c r="J8" s="43">
        <f t="shared" si="0"/>
        <v>0.1167</v>
      </c>
      <c r="K8" t="str" cm="1">
        <f t="array" ref="K8">IF(D8="","No Call",_xlfn.IFS(J8&lt;=0.25,"&lt;=15 min",J8&lt;=0.5,"16-30 min",J8&lt;=1,"31-60 min",TRUE,"&gt;60 min"))</f>
        <v>&lt;=15 min</v>
      </c>
      <c r="L8">
        <f>_xlfn.XLOOKUP(A8,Lead_Data!A:A,Lead_Data!H:H,0)</f>
        <v>0</v>
      </c>
    </row>
    <row r="9" spans="1:12" x14ac:dyDescent="0.3">
      <c r="A9" t="s">
        <v>49</v>
      </c>
      <c r="B9" t="s">
        <v>10</v>
      </c>
      <c r="C9" s="2">
        <v>46193.494231830322</v>
      </c>
      <c r="D9" s="2">
        <v>46193.494926274769</v>
      </c>
      <c r="J9" s="43">
        <f t="shared" si="0"/>
        <v>1.67E-2</v>
      </c>
      <c r="K9" t="str" cm="1">
        <f t="array" ref="K9">IF(D9="","No Call",_xlfn.IFS(J9&lt;=0.25,"&lt;=15 min",J9&lt;=0.5,"16-30 min",J9&lt;=1,"31-60 min",TRUE,"&gt;60 min"))</f>
        <v>&lt;=15 min</v>
      </c>
      <c r="L9">
        <f>_xlfn.XLOOKUP(A9,Lead_Data!A:A,Lead_Data!H:H,0)</f>
        <v>0</v>
      </c>
    </row>
    <row r="10" spans="1:12" x14ac:dyDescent="0.3">
      <c r="A10" t="s">
        <v>51</v>
      </c>
      <c r="B10" t="s">
        <v>10</v>
      </c>
      <c r="C10" s="2">
        <v>46206.770729172109</v>
      </c>
      <c r="D10" s="2">
        <v>46207.440173616553</v>
      </c>
      <c r="E10" s="2">
        <v>46208.981840283217</v>
      </c>
      <c r="J10" s="43">
        <f t="shared" si="0"/>
        <v>0.56669999999999998</v>
      </c>
      <c r="K10" t="str" cm="1">
        <f t="array" ref="K10">IF(D10="","No Call",_xlfn.IFS(J10&lt;=0.25,"&lt;=15 min",J10&lt;=0.5,"16-30 min",J10&lt;=1,"31-60 min",TRUE,"&gt;60 min"))</f>
        <v>31-60 min</v>
      </c>
      <c r="L10">
        <f>_xlfn.XLOOKUP(A10,Lead_Data!A:A,Lead_Data!H:H,0)</f>
        <v>0</v>
      </c>
    </row>
    <row r="11" spans="1:12" x14ac:dyDescent="0.3">
      <c r="A11" t="s">
        <v>52</v>
      </c>
      <c r="B11" t="s">
        <v>16</v>
      </c>
      <c r="C11" s="2">
        <v>46185.7331280219</v>
      </c>
      <c r="D11" s="2">
        <v>46185.76507246634</v>
      </c>
      <c r="E11" s="2">
        <v>46186.181739133011</v>
      </c>
      <c r="J11" s="43">
        <f t="shared" si="0"/>
        <v>0.76670000000000005</v>
      </c>
      <c r="K11" t="str" cm="1">
        <f t="array" ref="K11">IF(D11="","No Call",_xlfn.IFS(J11&lt;=0.25,"&lt;=15 min",J11&lt;=0.5,"16-30 min",J11&lt;=1,"31-60 min",TRUE,"&gt;60 min"))</f>
        <v>31-60 min</v>
      </c>
      <c r="L11">
        <f>_xlfn.XLOOKUP(A11,Lead_Data!A:A,Lead_Data!H:H,0)</f>
        <v>0</v>
      </c>
    </row>
    <row r="12" spans="1:12" x14ac:dyDescent="0.3">
      <c r="A12" t="s">
        <v>53</v>
      </c>
      <c r="B12" t="s">
        <v>3</v>
      </c>
      <c r="C12" s="2">
        <v>46197.894369605783</v>
      </c>
      <c r="D12" s="2">
        <v>46198.424311735413</v>
      </c>
      <c r="E12" s="2">
        <v>46199.299311735413</v>
      </c>
      <c r="F12" s="2">
        <v>46199.257645068741</v>
      </c>
      <c r="G12" s="2">
        <v>46200.382645068741</v>
      </c>
      <c r="J12" s="43">
        <f t="shared" si="0"/>
        <v>0.1835</v>
      </c>
      <c r="K12" t="str" cm="1">
        <f t="array" ref="K12">IF(D12="","No Call",_xlfn.IFS(J12&lt;=0.25,"&lt;=15 min",J12&lt;=0.5,"16-30 min",J12&lt;=1,"31-60 min",TRUE,"&gt;60 min"))</f>
        <v>&lt;=15 min</v>
      </c>
      <c r="L12">
        <f>_xlfn.XLOOKUP(A12,Lead_Data!A:A,Lead_Data!H:H,0)</f>
        <v>0</v>
      </c>
    </row>
    <row r="13" spans="1:12" x14ac:dyDescent="0.3">
      <c r="A13" t="s">
        <v>56</v>
      </c>
      <c r="B13" t="s">
        <v>3</v>
      </c>
      <c r="C13" s="2">
        <v>46188.520127039214</v>
      </c>
      <c r="D13" s="2">
        <v>46188.529849261438</v>
      </c>
      <c r="E13" s="2">
        <v>46189.821515928103</v>
      </c>
      <c r="J13" s="43">
        <f t="shared" si="0"/>
        <v>0.23330000000000001</v>
      </c>
      <c r="K13" t="str" cm="1">
        <f t="array" ref="K13">IF(D13="","No Call",_xlfn.IFS(J13&lt;=0.25,"&lt;=15 min",J13&lt;=0.5,"16-30 min",J13&lt;=1,"31-60 min",TRUE,"&gt;60 min"))</f>
        <v>&lt;=15 min</v>
      </c>
      <c r="L13">
        <f>_xlfn.XLOOKUP(A13,Lead_Data!A:A,Lead_Data!H:H,0)</f>
        <v>0</v>
      </c>
    </row>
    <row r="14" spans="1:12" x14ac:dyDescent="0.3">
      <c r="A14" t="s">
        <v>57</v>
      </c>
      <c r="B14" t="s">
        <v>15</v>
      </c>
      <c r="C14" s="2">
        <v>46203.61707073079</v>
      </c>
      <c r="D14" s="2">
        <v>46203.639987397451</v>
      </c>
      <c r="E14" s="2">
        <v>46203.806654064123</v>
      </c>
      <c r="F14" s="2">
        <v>46204.223320730787</v>
      </c>
      <c r="G14" s="2">
        <v>46205.473320730787</v>
      </c>
      <c r="H14" s="2">
        <v>46205.931654064123</v>
      </c>
      <c r="J14" s="43">
        <f t="shared" si="0"/>
        <v>0.55000000000000004</v>
      </c>
      <c r="K14" t="str" cm="1">
        <f t="array" ref="K14">IF(D14="","No Call",_xlfn.IFS(J14&lt;=0.25,"&lt;=15 min",J14&lt;=0.5,"16-30 min",J14&lt;=1,"31-60 min",TRUE,"&gt;60 min"))</f>
        <v>31-60 min</v>
      </c>
      <c r="L14">
        <f>_xlfn.XLOOKUP(A14,Lead_Data!A:A,Lead_Data!H:H,0)</f>
        <v>1</v>
      </c>
    </row>
    <row r="15" spans="1:12" x14ac:dyDescent="0.3">
      <c r="A15" t="s">
        <v>59</v>
      </c>
      <c r="B15" t="s">
        <v>6</v>
      </c>
      <c r="C15" s="2">
        <v>46190.815449702131</v>
      </c>
      <c r="D15" s="2">
        <v>46191.433343220648</v>
      </c>
      <c r="J15" s="43">
        <f t="shared" si="0"/>
        <v>0.4002</v>
      </c>
      <c r="K15" t="str" cm="1">
        <f t="array" ref="K15">IF(D15="","No Call",_xlfn.IFS(J15&lt;=0.25,"&lt;=15 min",J15&lt;=0.5,"16-30 min",J15&lt;=1,"31-60 min",TRUE,"&gt;60 min"))</f>
        <v>16-30 min</v>
      </c>
      <c r="L15">
        <f>_xlfn.XLOOKUP(A15,Lead_Data!A:A,Lead_Data!H:H,0)</f>
        <v>0</v>
      </c>
    </row>
    <row r="16" spans="1:12" x14ac:dyDescent="0.3">
      <c r="A16" t="s">
        <v>61</v>
      </c>
      <c r="B16" t="s">
        <v>12</v>
      </c>
      <c r="C16" s="2">
        <v>46198.381145792708</v>
      </c>
      <c r="D16" s="2">
        <v>46198.426400422337</v>
      </c>
      <c r="E16" s="2">
        <v>46200.134733755673</v>
      </c>
      <c r="J16" s="43">
        <f t="shared" si="0"/>
        <v>0.2336</v>
      </c>
      <c r="K16" t="str" cm="1">
        <f t="array" ref="K16">IF(D16="","No Call",_xlfn.IFS(J16&lt;=0.25,"&lt;=15 min",J16&lt;=0.5,"16-30 min",J16&lt;=1,"31-60 min",TRUE,"&gt;60 min"))</f>
        <v>&lt;=15 min</v>
      </c>
      <c r="L16">
        <f>_xlfn.XLOOKUP(A16,Lead_Data!A:A,Lead_Data!H:H,0)</f>
        <v>0</v>
      </c>
    </row>
    <row r="17" spans="1:12" x14ac:dyDescent="0.3">
      <c r="A17" t="s">
        <v>62</v>
      </c>
      <c r="B17" t="s">
        <v>16</v>
      </c>
      <c r="C17" s="2">
        <v>46199.850659323987</v>
      </c>
      <c r="D17" s="2">
        <v>46200.462511175843</v>
      </c>
      <c r="E17" s="2">
        <v>46202.212511175843</v>
      </c>
      <c r="J17" s="43">
        <f t="shared" si="0"/>
        <v>1.1003000000000001</v>
      </c>
      <c r="K17" t="str" cm="1">
        <f t="array" ref="K17">IF(D17="","No Call",_xlfn.IFS(J17&lt;=0.25,"&lt;=15 min",J17&lt;=0.5,"16-30 min",J17&lt;=1,"31-60 min",TRUE,"&gt;60 min"))</f>
        <v>&gt;60 min</v>
      </c>
      <c r="L17">
        <f>_xlfn.XLOOKUP(A17,Lead_Data!A:A,Lead_Data!H:H,0)</f>
        <v>0</v>
      </c>
    </row>
    <row r="18" spans="1:12" x14ac:dyDescent="0.3">
      <c r="A18" t="s">
        <v>63</v>
      </c>
      <c r="B18" t="s">
        <v>10</v>
      </c>
      <c r="C18" s="2">
        <v>46196.644684021332</v>
      </c>
      <c r="D18" s="2">
        <v>46196.653017354663</v>
      </c>
      <c r="J18" s="43">
        <f t="shared" si="0"/>
        <v>0.2</v>
      </c>
      <c r="K18" t="str" cm="1">
        <f t="array" ref="K18">IF(D18="","No Call",_xlfn.IFS(J18&lt;=0.25,"&lt;=15 min",J18&lt;=0.5,"16-30 min",J18&lt;=1,"31-60 min",TRUE,"&gt;60 min"))</f>
        <v>&lt;=15 min</v>
      </c>
      <c r="L18">
        <f>_xlfn.XLOOKUP(A18,Lead_Data!A:A,Lead_Data!H:H,0)</f>
        <v>0</v>
      </c>
    </row>
    <row r="19" spans="1:12" x14ac:dyDescent="0.3">
      <c r="A19" t="s">
        <v>64</v>
      </c>
      <c r="B19" t="s">
        <v>14</v>
      </c>
      <c r="C19" s="2">
        <v>46204.603914349493</v>
      </c>
      <c r="D19" s="2">
        <v>46204.615025460596</v>
      </c>
      <c r="E19" s="2">
        <v>46205.031692127268</v>
      </c>
      <c r="F19" s="2">
        <v>46205.323358793932</v>
      </c>
      <c r="G19" s="2">
        <v>46205.990025460596</v>
      </c>
      <c r="H19" s="2">
        <v>46206.990025460596</v>
      </c>
      <c r="J19" s="43">
        <f t="shared" si="0"/>
        <v>0.26669999999999999</v>
      </c>
      <c r="K19" t="str" cm="1">
        <f t="array" ref="K19">IF(D19="","No Call",_xlfn.IFS(J19&lt;=0.25,"&lt;=15 min",J19&lt;=0.5,"16-30 min",J19&lt;=1,"31-60 min",TRUE,"&gt;60 min"))</f>
        <v>16-30 min</v>
      </c>
      <c r="L19">
        <f>_xlfn.XLOOKUP(A19,Lead_Data!A:A,Lead_Data!H:H,0)</f>
        <v>1</v>
      </c>
    </row>
    <row r="20" spans="1:12" x14ac:dyDescent="0.3">
      <c r="A20" t="s">
        <v>65</v>
      </c>
      <c r="B20" t="s">
        <v>10</v>
      </c>
      <c r="C20" s="2">
        <v>46182.205416755532</v>
      </c>
      <c r="D20" s="2">
        <v>46182.433333422203</v>
      </c>
      <c r="E20" s="2">
        <v>46183.433333422203</v>
      </c>
      <c r="F20" s="2">
        <v>46183.225000088867</v>
      </c>
      <c r="G20" s="2">
        <v>46183.891666755531</v>
      </c>
      <c r="J20" s="43">
        <f t="shared" si="0"/>
        <v>0.4</v>
      </c>
      <c r="K20" t="str" cm="1">
        <f t="array" ref="K20">IF(D20="","No Call",_xlfn.IFS(J20&lt;=0.25,"&lt;=15 min",J20&lt;=0.5,"16-30 min",J20&lt;=1,"31-60 min",TRUE,"&gt;60 min"))</f>
        <v>16-30 min</v>
      </c>
      <c r="L20">
        <f>_xlfn.XLOOKUP(A20,Lead_Data!A:A,Lead_Data!H:H,0)</f>
        <v>0</v>
      </c>
    </row>
    <row r="21" spans="1:12" x14ac:dyDescent="0.3">
      <c r="A21" t="s">
        <v>67</v>
      </c>
      <c r="B21" t="s">
        <v>16</v>
      </c>
      <c r="C21" s="2">
        <v>46204.789682870723</v>
      </c>
      <c r="D21" s="2">
        <v>46205.433340278127</v>
      </c>
      <c r="E21" s="2">
        <v>46206.975006944791</v>
      </c>
      <c r="J21" s="43">
        <f t="shared" si="0"/>
        <v>0.4002</v>
      </c>
      <c r="K21" t="str" cm="1">
        <f t="array" ref="K21">IF(D21="","No Call",_xlfn.IFS(J21&lt;=0.25,"&lt;=15 min",J21&lt;=0.5,"16-30 min",J21&lt;=1,"31-60 min",TRUE,"&gt;60 min"))</f>
        <v>16-30 min</v>
      </c>
      <c r="L21">
        <f>_xlfn.XLOOKUP(A21,Lead_Data!A:A,Lead_Data!H:H,0)</f>
        <v>0</v>
      </c>
    </row>
    <row r="22" spans="1:12" x14ac:dyDescent="0.3">
      <c r="A22" t="s">
        <v>68</v>
      </c>
      <c r="B22" t="s">
        <v>20</v>
      </c>
      <c r="C22" s="2">
        <v>46205.395506416193</v>
      </c>
      <c r="D22" s="2">
        <v>46205.443758731009</v>
      </c>
      <c r="E22" s="2">
        <v>46207.193758731009</v>
      </c>
      <c r="J22" s="43">
        <f t="shared" si="0"/>
        <v>0.6502</v>
      </c>
      <c r="K22" t="str" cm="1">
        <f t="array" ref="K22">IF(D22="","No Call",_xlfn.IFS(J22&lt;=0.25,"&lt;=15 min",J22&lt;=0.5,"16-30 min",J22&lt;=1,"31-60 min",TRUE,"&gt;60 min"))</f>
        <v>31-60 min</v>
      </c>
      <c r="L22">
        <f>_xlfn.XLOOKUP(A22,Lead_Data!A:A,Lead_Data!H:H,0)</f>
        <v>0</v>
      </c>
    </row>
    <row r="23" spans="1:12" x14ac:dyDescent="0.3">
      <c r="A23" t="s">
        <v>69</v>
      </c>
      <c r="B23" t="s">
        <v>3</v>
      </c>
      <c r="C23" s="2">
        <v>46186.745988426352</v>
      </c>
      <c r="D23" s="2">
        <v>46186.752238426358</v>
      </c>
      <c r="J23" s="43">
        <f t="shared" si="0"/>
        <v>0.15</v>
      </c>
      <c r="K23" t="str" cm="1">
        <f t="array" ref="K23">IF(D23="","No Call",_xlfn.IFS(J23&lt;=0.25,"&lt;=15 min",J23&lt;=0.5,"16-30 min",J23&lt;=1,"31-60 min",TRUE,"&gt;60 min"))</f>
        <v>&lt;=15 min</v>
      </c>
      <c r="L23">
        <f>_xlfn.XLOOKUP(A23,Lead_Data!A:A,Lead_Data!H:H,0)</f>
        <v>0</v>
      </c>
    </row>
    <row r="24" spans="1:12" x14ac:dyDescent="0.3">
      <c r="A24" t="s">
        <v>71</v>
      </c>
      <c r="B24" t="s">
        <v>12</v>
      </c>
      <c r="C24" s="2">
        <v>46181.465534434537</v>
      </c>
      <c r="D24" s="2">
        <v>46181.475951101202</v>
      </c>
      <c r="E24" s="2">
        <v>46182.475951101202</v>
      </c>
      <c r="J24" s="43">
        <f t="shared" si="0"/>
        <v>0.25</v>
      </c>
      <c r="K24" t="str" cm="1">
        <f t="array" ref="K24">IF(D24="","No Call",_xlfn.IFS(J24&lt;=0.25,"&lt;=15 min",J24&lt;=0.5,"16-30 min",J24&lt;=1,"31-60 min",TRUE,"&gt;60 min"))</f>
        <v>&lt;=15 min</v>
      </c>
      <c r="L24">
        <f>_xlfn.XLOOKUP(A24,Lead_Data!A:A,Lead_Data!H:H,0)</f>
        <v>0</v>
      </c>
    </row>
    <row r="25" spans="1:12" x14ac:dyDescent="0.3">
      <c r="A25" t="s">
        <v>73</v>
      </c>
      <c r="B25" t="s">
        <v>16</v>
      </c>
      <c r="C25" s="2">
        <v>46202.840354517073</v>
      </c>
      <c r="D25" s="2">
        <v>46203.434035072627</v>
      </c>
      <c r="J25" s="43">
        <f t="shared" si="0"/>
        <v>0.4168</v>
      </c>
      <c r="K25" t="str" cm="1">
        <f t="array" ref="K25">IF(D25="","No Call",_xlfn.IFS(J25&lt;=0.25,"&lt;=15 min",J25&lt;=0.5,"16-30 min",J25&lt;=1,"31-60 min",TRUE,"&gt;60 min"))</f>
        <v>16-30 min</v>
      </c>
      <c r="L25">
        <f>_xlfn.XLOOKUP(A25,Lead_Data!A:A,Lead_Data!H:H,0)</f>
        <v>0</v>
      </c>
    </row>
    <row r="26" spans="1:12" x14ac:dyDescent="0.3">
      <c r="A26" t="s">
        <v>74</v>
      </c>
      <c r="B26" t="s">
        <v>8</v>
      </c>
      <c r="C26" s="2">
        <v>46195.453525456971</v>
      </c>
      <c r="D26" s="2">
        <v>46195.463942123642</v>
      </c>
      <c r="E26" s="2">
        <v>46196.380608790299</v>
      </c>
      <c r="F26" s="2">
        <v>46196.047275456971</v>
      </c>
      <c r="G26" s="2">
        <v>46196.922275456971</v>
      </c>
      <c r="H26" s="2">
        <v>46198.380608790299</v>
      </c>
      <c r="J26" s="43">
        <f t="shared" si="0"/>
        <v>0.25</v>
      </c>
      <c r="K26" t="str" cm="1">
        <f t="array" ref="K26">IF(D26="","No Call",_xlfn.IFS(J26&lt;=0.25,"&lt;=15 min",J26&lt;=0.5,"16-30 min",J26&lt;=1,"31-60 min",TRUE,"&gt;60 min"))</f>
        <v>&lt;=15 min</v>
      </c>
      <c r="L26">
        <f>_xlfn.XLOOKUP(A26,Lead_Data!A:A,Lead_Data!H:H,0)</f>
        <v>1</v>
      </c>
    </row>
    <row r="27" spans="1:12" x14ac:dyDescent="0.3">
      <c r="A27" t="s">
        <v>75</v>
      </c>
      <c r="B27" t="s">
        <v>3</v>
      </c>
      <c r="C27" s="2">
        <v>46198.046015689302</v>
      </c>
      <c r="D27" s="2">
        <v>46198.423619855967</v>
      </c>
      <c r="E27" s="2">
        <v>46200.381953189302</v>
      </c>
      <c r="J27" s="43">
        <f t="shared" si="0"/>
        <v>0.16689999999999999</v>
      </c>
      <c r="K27" t="str" cm="1">
        <f t="array" ref="K27">IF(D27="","No Call",_xlfn.IFS(J27&lt;=0.25,"&lt;=15 min",J27&lt;=0.5,"16-30 min",J27&lt;=1,"31-60 min",TRUE,"&gt;60 min"))</f>
        <v>&lt;=15 min</v>
      </c>
      <c r="L27">
        <f>_xlfn.XLOOKUP(A27,Lead_Data!A:A,Lead_Data!H:H,0)</f>
        <v>0</v>
      </c>
    </row>
    <row r="28" spans="1:12" x14ac:dyDescent="0.3">
      <c r="A28" t="s">
        <v>76</v>
      </c>
      <c r="B28" t="s">
        <v>10</v>
      </c>
      <c r="C28" s="2">
        <v>46197.615036067422</v>
      </c>
      <c r="D28" s="2">
        <v>46197.619897178527</v>
      </c>
      <c r="J28" s="43">
        <f t="shared" si="0"/>
        <v>0.1167</v>
      </c>
      <c r="K28" t="str" cm="1">
        <f t="array" ref="K28">IF(D28="","No Call",_xlfn.IFS(J28&lt;=0.25,"&lt;=15 min",J28&lt;=0.5,"16-30 min",J28&lt;=1,"31-60 min",TRUE,"&gt;60 min"))</f>
        <v>&lt;=15 min</v>
      </c>
      <c r="L28">
        <f>_xlfn.XLOOKUP(A28,Lead_Data!A:A,Lead_Data!H:H,0)</f>
        <v>0</v>
      </c>
    </row>
    <row r="29" spans="1:12" x14ac:dyDescent="0.3">
      <c r="A29" t="s">
        <v>77</v>
      </c>
      <c r="B29" t="s">
        <v>8</v>
      </c>
      <c r="C29" s="2">
        <v>46190.780552125107</v>
      </c>
      <c r="D29" s="2">
        <v>46191.430563699178</v>
      </c>
      <c r="E29" s="2">
        <v>46193.388897032513</v>
      </c>
      <c r="J29" s="43">
        <f t="shared" si="0"/>
        <v>0.33350000000000002</v>
      </c>
      <c r="K29" t="str" cm="1">
        <f t="array" ref="K29">IF(D29="","No Call",_xlfn.IFS(J29&lt;=0.25,"&lt;=15 min",J29&lt;=0.5,"16-30 min",J29&lt;=1,"31-60 min",TRUE,"&gt;60 min"))</f>
        <v>16-30 min</v>
      </c>
      <c r="L29">
        <f>_xlfn.XLOOKUP(A29,Lead_Data!A:A,Lead_Data!H:H,0)</f>
        <v>0</v>
      </c>
    </row>
    <row r="30" spans="1:12" x14ac:dyDescent="0.3">
      <c r="A30" t="s">
        <v>78</v>
      </c>
      <c r="B30" t="s">
        <v>3</v>
      </c>
      <c r="C30" s="2">
        <v>46202.490845095766</v>
      </c>
      <c r="D30" s="2">
        <v>46202.495011762432</v>
      </c>
      <c r="J30" s="43">
        <f t="shared" si="0"/>
        <v>0.1</v>
      </c>
      <c r="K30" t="str" cm="1">
        <f t="array" ref="K30">IF(D30="","No Call",_xlfn.IFS(J30&lt;=0.25,"&lt;=15 min",J30&lt;=0.5,"16-30 min",J30&lt;=1,"31-60 min",TRUE,"&gt;60 min"))</f>
        <v>&lt;=15 min</v>
      </c>
      <c r="L30">
        <f>_xlfn.XLOOKUP(A30,Lead_Data!A:A,Lead_Data!H:H,0)</f>
        <v>0</v>
      </c>
    </row>
    <row r="31" spans="1:12" x14ac:dyDescent="0.3">
      <c r="A31" t="s">
        <v>79</v>
      </c>
      <c r="B31" t="s">
        <v>6</v>
      </c>
      <c r="C31" s="2">
        <v>46193.360503699667</v>
      </c>
      <c r="J31" s="43" t="str">
        <f t="shared" si="0"/>
        <v/>
      </c>
      <c r="K31" t="str" cm="1">
        <f t="array" ref="K31">IF(D31="","No Call",_xlfn.IFS(J31&lt;=0.25,"&lt;=15 min",J31&lt;=0.5,"16-30 min",J31&lt;=1,"31-60 min",TRUE,"&gt;60 min"))</f>
        <v>No Call</v>
      </c>
      <c r="L31">
        <f>_xlfn.XLOOKUP(A31,Lead_Data!A:A,Lead_Data!H:H,0)</f>
        <v>0</v>
      </c>
    </row>
    <row r="32" spans="1:12" x14ac:dyDescent="0.3">
      <c r="A32" t="s">
        <v>80</v>
      </c>
      <c r="B32" t="s">
        <v>6</v>
      </c>
      <c r="C32" s="2">
        <v>46193.469321949313</v>
      </c>
      <c r="D32" s="2">
        <v>46193.513766393749</v>
      </c>
      <c r="E32" s="2">
        <v>46194.055433060414</v>
      </c>
      <c r="F32" s="2">
        <v>46193.888766393749</v>
      </c>
      <c r="G32" s="2">
        <v>46195.013766393749</v>
      </c>
      <c r="J32" s="43">
        <f t="shared" si="0"/>
        <v>1.0667</v>
      </c>
      <c r="K32" t="str" cm="1">
        <f t="array" ref="K32">IF(D32="","No Call",_xlfn.IFS(J32&lt;=0.25,"&lt;=15 min",J32&lt;=0.5,"16-30 min",J32&lt;=1,"31-60 min",TRUE,"&gt;60 min"))</f>
        <v>&gt;60 min</v>
      </c>
      <c r="L32">
        <f>_xlfn.XLOOKUP(A32,Lead_Data!A:A,Lead_Data!H:H,0)</f>
        <v>0</v>
      </c>
    </row>
    <row r="33" spans="1:12" x14ac:dyDescent="0.3">
      <c r="A33" t="s">
        <v>81</v>
      </c>
      <c r="B33" t="s">
        <v>3</v>
      </c>
      <c r="C33" s="2">
        <v>46190.511695101959</v>
      </c>
      <c r="D33" s="2">
        <v>46190.515167324178</v>
      </c>
      <c r="E33" s="2">
        <v>46191.390167324178</v>
      </c>
      <c r="F33" s="2">
        <v>46190.556833990842</v>
      </c>
      <c r="G33" s="2">
        <v>46191.765167324178</v>
      </c>
      <c r="J33" s="43">
        <f t="shared" si="0"/>
        <v>8.3299999999999999E-2</v>
      </c>
      <c r="K33" t="str" cm="1">
        <f t="array" ref="K33">IF(D33="","No Call",_xlfn.IFS(J33&lt;=0.25,"&lt;=15 min",J33&lt;=0.5,"16-30 min",J33&lt;=1,"31-60 min",TRUE,"&gt;60 min"))</f>
        <v>&lt;=15 min</v>
      </c>
      <c r="L33">
        <f>_xlfn.XLOOKUP(A33,Lead_Data!A:A,Lead_Data!H:H,0)</f>
        <v>0</v>
      </c>
    </row>
    <row r="34" spans="1:12" x14ac:dyDescent="0.3">
      <c r="A34" t="s">
        <v>83</v>
      </c>
      <c r="B34" t="s">
        <v>3</v>
      </c>
      <c r="C34" s="2">
        <v>46206.587429269966</v>
      </c>
      <c r="D34" s="2">
        <v>46206.595068158851</v>
      </c>
      <c r="J34" s="43">
        <f t="shared" si="0"/>
        <v>0.18329999999999999</v>
      </c>
      <c r="K34" t="str" cm="1">
        <f t="array" ref="K34">IF(D34="","No Call",_xlfn.IFS(J34&lt;=0.25,"&lt;=15 min",J34&lt;=0.5,"16-30 min",J34&lt;=1,"31-60 min",TRUE,"&gt;60 min"))</f>
        <v>&lt;=15 min</v>
      </c>
      <c r="L34">
        <f>_xlfn.XLOOKUP(A34,Lead_Data!A:A,Lead_Data!H:H,0)</f>
        <v>0</v>
      </c>
    </row>
    <row r="35" spans="1:12" x14ac:dyDescent="0.3">
      <c r="A35" t="s">
        <v>84</v>
      </c>
      <c r="B35" t="s">
        <v>14</v>
      </c>
      <c r="C35" s="2">
        <v>46200.669246155441</v>
      </c>
      <c r="D35" s="2">
        <v>46200.679662822113</v>
      </c>
      <c r="E35" s="2">
        <v>46201.72132948877</v>
      </c>
      <c r="J35" s="43">
        <f t="shared" si="0"/>
        <v>0.25</v>
      </c>
      <c r="K35" t="str" cm="1">
        <f t="array" ref="K35">IF(D35="","No Call",_xlfn.IFS(J35&lt;=0.25,"&lt;=15 min",J35&lt;=0.5,"16-30 min",J35&lt;=1,"31-60 min",TRUE,"&gt;60 min"))</f>
        <v>&lt;=15 min</v>
      </c>
      <c r="L35">
        <f>_xlfn.XLOOKUP(A35,Lead_Data!A:A,Lead_Data!H:H,0)</f>
        <v>0</v>
      </c>
    </row>
    <row r="36" spans="1:12" x14ac:dyDescent="0.3">
      <c r="A36" t="s">
        <v>85</v>
      </c>
      <c r="B36" t="s">
        <v>7</v>
      </c>
      <c r="C36" s="2">
        <v>46182.767891534073</v>
      </c>
      <c r="D36" s="2">
        <v>46183.440113756282</v>
      </c>
      <c r="E36" s="2">
        <v>46184.023447089618</v>
      </c>
      <c r="F36" s="2">
        <v>46183.856780422953</v>
      </c>
      <c r="G36" s="2">
        <v>46185.065113756282</v>
      </c>
      <c r="J36" s="43">
        <f t="shared" si="0"/>
        <v>0.63329999999999997</v>
      </c>
      <c r="K36" t="str" cm="1">
        <f t="array" ref="K36">IF(D36="","No Call",_xlfn.IFS(J36&lt;=0.25,"&lt;=15 min",J36&lt;=0.5,"16-30 min",J36&lt;=1,"31-60 min",TRUE,"&gt;60 min"))</f>
        <v>31-60 min</v>
      </c>
      <c r="L36">
        <f>_xlfn.XLOOKUP(A36,Lead_Data!A:A,Lead_Data!H:H,0)</f>
        <v>0</v>
      </c>
    </row>
    <row r="37" spans="1:12" x14ac:dyDescent="0.3">
      <c r="A37" t="s">
        <v>86</v>
      </c>
      <c r="B37" t="s">
        <v>8</v>
      </c>
      <c r="C37" s="2">
        <v>46205.589945701067</v>
      </c>
      <c r="D37" s="2">
        <v>46205.597584589967</v>
      </c>
      <c r="J37" s="43">
        <f t="shared" si="0"/>
        <v>0.18329999999999999</v>
      </c>
      <c r="K37" t="str" cm="1">
        <f t="array" ref="K37">IF(D37="","No Call",_xlfn.IFS(J37&lt;=0.25,"&lt;=15 min",J37&lt;=0.5,"16-30 min",J37&lt;=1,"31-60 min",TRUE,"&gt;60 min"))</f>
        <v>&lt;=15 min</v>
      </c>
      <c r="L37">
        <f>_xlfn.XLOOKUP(A37,Lead_Data!A:A,Lead_Data!H:H,0)</f>
        <v>0</v>
      </c>
    </row>
    <row r="38" spans="1:12" x14ac:dyDescent="0.3">
      <c r="A38" t="s">
        <v>88</v>
      </c>
      <c r="B38" t="s">
        <v>18</v>
      </c>
      <c r="C38" s="2">
        <v>46188.366047723241</v>
      </c>
      <c r="D38" s="2">
        <v>46188.453478278803</v>
      </c>
      <c r="E38" s="2">
        <v>46189.203478278803</v>
      </c>
      <c r="J38" s="43">
        <f t="shared" si="0"/>
        <v>0.88349999999999995</v>
      </c>
      <c r="K38" t="str" cm="1">
        <f t="array" ref="K38">IF(D38="","No Call",_xlfn.IFS(J38&lt;=0.25,"&lt;=15 min",J38&lt;=0.5,"16-30 min",J38&lt;=1,"31-60 min",TRUE,"&gt;60 min"))</f>
        <v>31-60 min</v>
      </c>
      <c r="L38">
        <f>_xlfn.XLOOKUP(A38,Lead_Data!A:A,Lead_Data!H:H,0)</f>
        <v>0</v>
      </c>
    </row>
    <row r="39" spans="1:12" x14ac:dyDescent="0.3">
      <c r="A39" t="s">
        <v>89</v>
      </c>
      <c r="B39" t="s">
        <v>6</v>
      </c>
      <c r="C39" s="2">
        <v>46182.481843062953</v>
      </c>
      <c r="D39" s="2">
        <v>46182.503370840728</v>
      </c>
      <c r="J39" s="43">
        <f t="shared" si="0"/>
        <v>0.51670000000000005</v>
      </c>
      <c r="K39" t="str" cm="1">
        <f t="array" ref="K39">IF(D39="","No Call",_xlfn.IFS(J39&lt;=0.25,"&lt;=15 min",J39&lt;=0.5,"16-30 min",J39&lt;=1,"31-60 min",TRUE,"&gt;60 min"))</f>
        <v>31-60 min</v>
      </c>
      <c r="L39">
        <f>_xlfn.XLOOKUP(A39,Lead_Data!A:A,Lead_Data!H:H,0)</f>
        <v>0</v>
      </c>
    </row>
    <row r="40" spans="1:12" x14ac:dyDescent="0.3">
      <c r="A40" t="s">
        <v>90</v>
      </c>
      <c r="B40" t="s">
        <v>8</v>
      </c>
      <c r="C40" s="2">
        <v>46209.618198630211</v>
      </c>
      <c r="D40" s="2">
        <v>46209.61889307465</v>
      </c>
      <c r="E40" s="2">
        <v>46210.410559741322</v>
      </c>
      <c r="F40" s="2">
        <v>46210.24389307465</v>
      </c>
      <c r="G40" s="2">
        <v>46210.452226407993</v>
      </c>
      <c r="J40" s="43">
        <f t="shared" si="0"/>
        <v>1.67E-2</v>
      </c>
      <c r="K40" t="str" cm="1">
        <f t="array" ref="K40">IF(D40="","No Call",_xlfn.IFS(J40&lt;=0.25,"&lt;=15 min",J40&lt;=0.5,"16-30 min",J40&lt;=1,"31-60 min",TRUE,"&gt;60 min"))</f>
        <v>&lt;=15 min</v>
      </c>
      <c r="L40">
        <f>_xlfn.XLOOKUP(A40,Lead_Data!A:A,Lead_Data!H:H,0)</f>
        <v>0</v>
      </c>
    </row>
    <row r="41" spans="1:12" x14ac:dyDescent="0.3">
      <c r="A41" t="s">
        <v>91</v>
      </c>
      <c r="B41" t="s">
        <v>10</v>
      </c>
      <c r="C41" s="2">
        <v>46205.667303042741</v>
      </c>
      <c r="D41" s="2">
        <v>46205.671469709407</v>
      </c>
      <c r="E41" s="2">
        <v>46205.963136376078</v>
      </c>
      <c r="J41" s="43">
        <f t="shared" si="0"/>
        <v>0.1</v>
      </c>
      <c r="K41" t="str" cm="1">
        <f t="array" ref="K41">IF(D41="","No Call",_xlfn.IFS(J41&lt;=0.25,"&lt;=15 min",J41&lt;=0.5,"16-30 min",J41&lt;=1,"31-60 min",TRUE,"&gt;60 min"))</f>
        <v>&lt;=15 min</v>
      </c>
      <c r="L41">
        <f>_xlfn.XLOOKUP(A41,Lead_Data!A:A,Lead_Data!H:H,0)</f>
        <v>0</v>
      </c>
    </row>
    <row r="42" spans="1:12" x14ac:dyDescent="0.3">
      <c r="A42" t="s">
        <v>92</v>
      </c>
      <c r="B42" t="s">
        <v>3</v>
      </c>
      <c r="C42" s="2">
        <v>46195.398721468031</v>
      </c>
      <c r="D42" s="2">
        <v>46195.420839523591</v>
      </c>
      <c r="J42" s="43">
        <f t="shared" si="0"/>
        <v>0.10009999999999999</v>
      </c>
      <c r="K42" t="str" cm="1">
        <f t="array" ref="K42">IF(D42="","No Call",_xlfn.IFS(J42&lt;=0.25,"&lt;=15 min",J42&lt;=0.5,"16-30 min",J42&lt;=1,"31-60 min",TRUE,"&gt;60 min"))</f>
        <v>&lt;=15 min</v>
      </c>
      <c r="L42">
        <f>_xlfn.XLOOKUP(A42,Lead_Data!A:A,Lead_Data!H:H,0)</f>
        <v>0</v>
      </c>
    </row>
    <row r="43" spans="1:12" x14ac:dyDescent="0.3">
      <c r="A43" t="s">
        <v>93</v>
      </c>
      <c r="B43" t="s">
        <v>12</v>
      </c>
      <c r="C43" s="2">
        <v>46185.221682880292</v>
      </c>
      <c r="D43" s="2">
        <v>46185.429865750659</v>
      </c>
      <c r="E43" s="2">
        <v>46185.763199083987</v>
      </c>
      <c r="J43" s="43">
        <f t="shared" si="0"/>
        <v>0.31680000000000003</v>
      </c>
      <c r="K43" t="str" cm="1">
        <f t="array" ref="K43">IF(D43="","No Call",_xlfn.IFS(J43&lt;=0.25,"&lt;=15 min",J43&lt;=0.5,"16-30 min",J43&lt;=1,"31-60 min",TRUE,"&gt;60 min"))</f>
        <v>16-30 min</v>
      </c>
      <c r="L43">
        <f>_xlfn.XLOOKUP(A43,Lead_Data!A:A,Lead_Data!H:H,0)</f>
        <v>0</v>
      </c>
    </row>
    <row r="44" spans="1:12" x14ac:dyDescent="0.3">
      <c r="A44" t="s">
        <v>94</v>
      </c>
      <c r="B44" t="s">
        <v>3</v>
      </c>
      <c r="C44" s="2">
        <v>46185.261568804512</v>
      </c>
      <c r="D44" s="2">
        <v>46185.422228526739</v>
      </c>
      <c r="E44" s="2">
        <v>46185.588895193403</v>
      </c>
      <c r="F44" s="2">
        <v>46186.213895193403</v>
      </c>
      <c r="G44" s="2">
        <v>46187.422228526739</v>
      </c>
      <c r="H44" s="2">
        <v>46188.672228526739</v>
      </c>
      <c r="J44" s="43">
        <f t="shared" si="0"/>
        <v>0.13350000000000001</v>
      </c>
      <c r="K44" t="str" cm="1">
        <f t="array" ref="K44">IF(D44="","No Call",_xlfn.IFS(J44&lt;=0.25,"&lt;=15 min",J44&lt;=0.5,"16-30 min",J44&lt;=1,"31-60 min",TRUE,"&gt;60 min"))</f>
        <v>&lt;=15 min</v>
      </c>
      <c r="L44">
        <f>_xlfn.XLOOKUP(A44,Lead_Data!A:A,Lead_Data!H:H,0)</f>
        <v>1</v>
      </c>
    </row>
    <row r="45" spans="1:12" x14ac:dyDescent="0.3">
      <c r="A45" t="s">
        <v>95</v>
      </c>
      <c r="B45" t="s">
        <v>16</v>
      </c>
      <c r="C45" s="2">
        <v>46190.525957976541</v>
      </c>
      <c r="D45" s="2">
        <v>46190.52873575432</v>
      </c>
      <c r="E45" s="2">
        <v>46190.737069087649</v>
      </c>
      <c r="J45" s="43">
        <f t="shared" si="0"/>
        <v>6.6699999999999995E-2</v>
      </c>
      <c r="K45" t="str" cm="1">
        <f t="array" ref="K45">IF(D45="","No Call",_xlfn.IFS(J45&lt;=0.25,"&lt;=15 min",J45&lt;=0.5,"16-30 min",J45&lt;=1,"31-60 min",TRUE,"&gt;60 min"))</f>
        <v>&lt;=15 min</v>
      </c>
      <c r="L45">
        <f>_xlfn.XLOOKUP(A45,Lead_Data!A:A,Lead_Data!H:H,0)</f>
        <v>0</v>
      </c>
    </row>
    <row r="46" spans="1:12" x14ac:dyDescent="0.3">
      <c r="A46" t="s">
        <v>96</v>
      </c>
      <c r="B46" t="s">
        <v>14</v>
      </c>
      <c r="C46" s="2">
        <v>46203.480969823759</v>
      </c>
      <c r="D46" s="2">
        <v>46203.497636490429</v>
      </c>
      <c r="J46" s="43">
        <f t="shared" si="0"/>
        <v>0.4</v>
      </c>
      <c r="K46" t="str" cm="1">
        <f t="array" ref="K46">IF(D46="","No Call",_xlfn.IFS(J46&lt;=0.25,"&lt;=15 min",J46&lt;=0.5,"16-30 min",J46&lt;=1,"31-60 min",TRUE,"&gt;60 min"))</f>
        <v>16-30 min</v>
      </c>
      <c r="L46">
        <f>_xlfn.XLOOKUP(A46,Lead_Data!A:A,Lead_Data!H:H,0)</f>
        <v>0</v>
      </c>
    </row>
    <row r="47" spans="1:12" x14ac:dyDescent="0.3">
      <c r="A47" t="s">
        <v>97</v>
      </c>
      <c r="B47" t="s">
        <v>16</v>
      </c>
      <c r="C47" s="2">
        <v>46190.493315404798</v>
      </c>
      <c r="D47" s="2">
        <v>46190.507204293703</v>
      </c>
      <c r="J47" s="43">
        <f t="shared" si="0"/>
        <v>0.33329999999999999</v>
      </c>
      <c r="K47" t="str" cm="1">
        <f t="array" ref="K47">IF(D47="","No Call",_xlfn.IFS(J47&lt;=0.25,"&lt;=15 min",J47&lt;=0.5,"16-30 min",J47&lt;=1,"31-60 min",TRUE,"&gt;60 min"))</f>
        <v>16-30 min</v>
      </c>
      <c r="L47">
        <f>_xlfn.XLOOKUP(A47,Lead_Data!A:A,Lead_Data!H:H,0)</f>
        <v>0</v>
      </c>
    </row>
    <row r="48" spans="1:12" x14ac:dyDescent="0.3">
      <c r="A48" t="s">
        <v>98</v>
      </c>
      <c r="B48" t="s">
        <v>16</v>
      </c>
      <c r="C48" s="2">
        <v>46197.46343552255</v>
      </c>
      <c r="D48" s="2">
        <v>46197.493991078103</v>
      </c>
      <c r="E48" s="2">
        <v>46198.827324411432</v>
      </c>
      <c r="J48" s="43">
        <f t="shared" si="0"/>
        <v>0.73329999999999995</v>
      </c>
      <c r="K48" t="str" cm="1">
        <f t="array" ref="K48">IF(D48="","No Call",_xlfn.IFS(J48&lt;=0.25,"&lt;=15 min",J48&lt;=0.5,"16-30 min",J48&lt;=1,"31-60 min",TRUE,"&gt;60 min"))</f>
        <v>31-60 min</v>
      </c>
      <c r="L48">
        <f>_xlfn.XLOOKUP(A48,Lead_Data!A:A,Lead_Data!H:H,0)</f>
        <v>0</v>
      </c>
    </row>
    <row r="49" spans="1:12" x14ac:dyDescent="0.3">
      <c r="A49" t="s">
        <v>99</v>
      </c>
      <c r="B49" t="s">
        <v>14</v>
      </c>
      <c r="C49" s="2">
        <v>46206.678681513869</v>
      </c>
      <c r="D49" s="2">
        <v>46206.696042624979</v>
      </c>
      <c r="E49" s="2">
        <v>46207.571042624979</v>
      </c>
      <c r="J49" s="43">
        <f t="shared" si="0"/>
        <v>0.41670000000000001</v>
      </c>
      <c r="K49" t="str" cm="1">
        <f t="array" ref="K49">IF(D49="","No Call",_xlfn.IFS(J49&lt;=0.25,"&lt;=15 min",J49&lt;=0.5,"16-30 min",J49&lt;=1,"31-60 min",TRUE,"&gt;60 min"))</f>
        <v>16-30 min</v>
      </c>
      <c r="L49">
        <f>_xlfn.XLOOKUP(A49,Lead_Data!A:A,Lead_Data!H:H,0)</f>
        <v>0</v>
      </c>
    </row>
    <row r="50" spans="1:12" x14ac:dyDescent="0.3">
      <c r="A50" t="s">
        <v>100</v>
      </c>
      <c r="B50" t="s">
        <v>16</v>
      </c>
      <c r="C50" s="2">
        <v>46190.832448245033</v>
      </c>
      <c r="D50" s="2">
        <v>46191.443756115397</v>
      </c>
      <c r="J50" s="43">
        <f t="shared" si="0"/>
        <v>0.65010000000000001</v>
      </c>
      <c r="K50" t="str" cm="1">
        <f t="array" ref="K50">IF(D50="","No Call",_xlfn.IFS(J50&lt;=0.25,"&lt;=15 min",J50&lt;=0.5,"16-30 min",J50&lt;=1,"31-60 min",TRUE,"&gt;60 min"))</f>
        <v>31-60 min</v>
      </c>
      <c r="L50">
        <f>_xlfn.XLOOKUP(A50,Lead_Data!A:A,Lead_Data!H:H,0)</f>
        <v>0</v>
      </c>
    </row>
    <row r="51" spans="1:12" x14ac:dyDescent="0.3">
      <c r="A51" t="s">
        <v>101</v>
      </c>
      <c r="B51" t="s">
        <v>8</v>
      </c>
      <c r="C51" s="2">
        <v>46191.226236822768</v>
      </c>
      <c r="D51" s="2">
        <v>46191.42709330425</v>
      </c>
      <c r="J51" s="43">
        <f t="shared" si="0"/>
        <v>0.25019999999999998</v>
      </c>
      <c r="K51" t="str" cm="1">
        <f t="array" ref="K51">IF(D51="","No Call",_xlfn.IFS(J51&lt;=0.25,"&lt;=15 min",J51&lt;=0.5,"16-30 min",J51&lt;=1,"31-60 min",TRUE,"&gt;60 min"))</f>
        <v>16-30 min</v>
      </c>
      <c r="L51">
        <f>_xlfn.XLOOKUP(A51,Lead_Data!A:A,Lead_Data!H:H,0)</f>
        <v>0</v>
      </c>
    </row>
    <row r="52" spans="1:12" x14ac:dyDescent="0.3">
      <c r="A52" t="s">
        <v>102</v>
      </c>
      <c r="B52" t="s">
        <v>3</v>
      </c>
      <c r="C52" s="2">
        <v>46185.746486348922</v>
      </c>
      <c r="D52" s="2">
        <v>46185.754125237807</v>
      </c>
      <c r="E52" s="2">
        <v>46186.420791904478</v>
      </c>
      <c r="F52" s="2">
        <v>46186.545791904478</v>
      </c>
      <c r="G52" s="2">
        <v>46187.170791904478</v>
      </c>
      <c r="H52" s="2">
        <v>46188.670791904478</v>
      </c>
      <c r="J52" s="43">
        <f t="shared" si="0"/>
        <v>0.18329999999999999</v>
      </c>
      <c r="K52" t="str" cm="1">
        <f t="array" ref="K52">IF(D52="","No Call",_xlfn.IFS(J52&lt;=0.25,"&lt;=15 min",J52&lt;=0.5,"16-30 min",J52&lt;=1,"31-60 min",TRUE,"&gt;60 min"))</f>
        <v>&lt;=15 min</v>
      </c>
      <c r="L52">
        <f>_xlfn.XLOOKUP(A52,Lead_Data!A:A,Lead_Data!H:H,0)</f>
        <v>1</v>
      </c>
    </row>
    <row r="53" spans="1:12" x14ac:dyDescent="0.3">
      <c r="A53" t="s">
        <v>103</v>
      </c>
      <c r="B53" t="s">
        <v>14</v>
      </c>
      <c r="C53" s="2">
        <v>46210.395513118019</v>
      </c>
      <c r="D53" s="2">
        <v>46210.421531636537</v>
      </c>
      <c r="J53" s="43">
        <f t="shared" si="0"/>
        <v>0.1168</v>
      </c>
      <c r="K53" t="str" cm="1">
        <f t="array" ref="K53">IF(D53="","No Call",_xlfn.IFS(J53&lt;=0.25,"&lt;=15 min",J53&lt;=0.5,"16-30 min",J53&lt;=1,"31-60 min",TRUE,"&gt;60 min"))</f>
        <v>&lt;=15 min</v>
      </c>
      <c r="L53">
        <f>_xlfn.XLOOKUP(A53,Lead_Data!A:A,Lead_Data!H:H,0)</f>
        <v>0</v>
      </c>
    </row>
    <row r="54" spans="1:12" x14ac:dyDescent="0.3">
      <c r="A54" t="s">
        <v>104</v>
      </c>
      <c r="B54" t="s">
        <v>14</v>
      </c>
      <c r="C54" s="2">
        <v>46181.385059150518</v>
      </c>
      <c r="D54" s="2">
        <v>46181.420834613476</v>
      </c>
      <c r="J54" s="43">
        <f t="shared" si="0"/>
        <v>0.1</v>
      </c>
      <c r="K54" t="str" cm="1">
        <f t="array" ref="K54">IF(D54="","No Call",_xlfn.IFS(J54&lt;=0.25,"&lt;=15 min",J54&lt;=0.5,"16-30 min",J54&lt;=1,"31-60 min",TRUE,"&gt;60 min"))</f>
        <v>&lt;=15 min</v>
      </c>
      <c r="L54">
        <f>_xlfn.XLOOKUP(A54,Lead_Data!A:A,Lead_Data!H:H,0)</f>
        <v>0</v>
      </c>
    </row>
    <row r="55" spans="1:12" x14ac:dyDescent="0.3">
      <c r="A55" t="s">
        <v>105</v>
      </c>
      <c r="B55" t="s">
        <v>20</v>
      </c>
      <c r="C55" s="2">
        <v>46198.407320745602</v>
      </c>
      <c r="D55" s="2">
        <v>46198.448617041897</v>
      </c>
      <c r="J55" s="43">
        <f t="shared" si="0"/>
        <v>0.76680000000000004</v>
      </c>
      <c r="K55" t="str" cm="1">
        <f t="array" ref="K55">IF(D55="","No Call",_xlfn.IFS(J55&lt;=0.25,"&lt;=15 min",J55&lt;=0.5,"16-30 min",J55&lt;=1,"31-60 min",TRUE,"&gt;60 min"))</f>
        <v>31-60 min</v>
      </c>
      <c r="L55">
        <f>_xlfn.XLOOKUP(A55,Lead_Data!A:A,Lead_Data!H:H,0)</f>
        <v>0</v>
      </c>
    </row>
    <row r="56" spans="1:12" x14ac:dyDescent="0.3">
      <c r="A56" t="s">
        <v>106</v>
      </c>
      <c r="B56" t="s">
        <v>10</v>
      </c>
      <c r="C56" s="2">
        <v>46203.787000799057</v>
      </c>
      <c r="D56" s="2">
        <v>46204.42292672499</v>
      </c>
      <c r="J56" s="43">
        <f t="shared" si="0"/>
        <v>0.1502</v>
      </c>
      <c r="K56" t="str" cm="1">
        <f t="array" ref="K56">IF(D56="","No Call",_xlfn.IFS(J56&lt;=0.25,"&lt;=15 min",J56&lt;=0.5,"16-30 min",J56&lt;=1,"31-60 min",TRUE,"&gt;60 min"))</f>
        <v>&lt;=15 min</v>
      </c>
      <c r="L56">
        <f>_xlfn.XLOOKUP(A56,Lead_Data!A:A,Lead_Data!H:H,0)</f>
        <v>0</v>
      </c>
    </row>
    <row r="57" spans="1:12" x14ac:dyDescent="0.3">
      <c r="A57" t="s">
        <v>107</v>
      </c>
      <c r="B57" t="s">
        <v>6</v>
      </c>
      <c r="C57" s="2">
        <v>46204.454007094952</v>
      </c>
      <c r="D57" s="2">
        <v>46204.476229317173</v>
      </c>
      <c r="E57" s="2">
        <v>46205.476229317173</v>
      </c>
      <c r="J57" s="43">
        <f t="shared" si="0"/>
        <v>0.5333</v>
      </c>
      <c r="K57" t="str" cm="1">
        <f t="array" ref="K57">IF(D57="","No Call",_xlfn.IFS(J57&lt;=0.25,"&lt;=15 min",J57&lt;=0.5,"16-30 min",J57&lt;=1,"31-60 min",TRUE,"&gt;60 min"))</f>
        <v>31-60 min</v>
      </c>
      <c r="L57">
        <f>_xlfn.XLOOKUP(A57,Lead_Data!A:A,Lead_Data!H:H,0)</f>
        <v>0</v>
      </c>
    </row>
    <row r="58" spans="1:12" x14ac:dyDescent="0.3">
      <c r="A58" t="s">
        <v>108</v>
      </c>
      <c r="B58" t="s">
        <v>10</v>
      </c>
      <c r="C58" s="2">
        <v>46196.31427107683</v>
      </c>
      <c r="D58" s="2">
        <v>46196.429861354613</v>
      </c>
      <c r="E58" s="2">
        <v>46197.429861354613</v>
      </c>
      <c r="F58" s="2">
        <v>46196.846528021277</v>
      </c>
      <c r="G58" s="2">
        <v>46196.929861354613</v>
      </c>
      <c r="H58" s="2">
        <v>46197.429861354613</v>
      </c>
      <c r="J58" s="43">
        <f t="shared" si="0"/>
        <v>0.31669999999999998</v>
      </c>
      <c r="K58" t="str" cm="1">
        <f t="array" ref="K58">IF(D58="","No Call",_xlfn.IFS(J58&lt;=0.25,"&lt;=15 min",J58&lt;=0.5,"16-30 min",J58&lt;=1,"31-60 min",TRUE,"&gt;60 min"))</f>
        <v>16-30 min</v>
      </c>
      <c r="L58">
        <f>_xlfn.XLOOKUP(A58,Lead_Data!A:A,Lead_Data!H:H,0)</f>
        <v>1</v>
      </c>
    </row>
    <row r="59" spans="1:12" x14ac:dyDescent="0.3">
      <c r="A59" t="s">
        <v>109</v>
      </c>
      <c r="B59" t="s">
        <v>14</v>
      </c>
      <c r="C59" s="2">
        <v>46187.856637755649</v>
      </c>
      <c r="D59" s="2">
        <v>46188.424311366762</v>
      </c>
      <c r="E59" s="2">
        <v>46188.590978033433</v>
      </c>
      <c r="F59" s="2">
        <v>46188.465978033433</v>
      </c>
      <c r="G59" s="2">
        <v>46189.00764470009</v>
      </c>
      <c r="H59" s="2">
        <v>46189.465978033433</v>
      </c>
      <c r="J59" s="43">
        <f t="shared" si="0"/>
        <v>0.1835</v>
      </c>
      <c r="K59" t="str" cm="1">
        <f t="array" ref="K59">IF(D59="","No Call",_xlfn.IFS(J59&lt;=0.25,"&lt;=15 min",J59&lt;=0.5,"16-30 min",J59&lt;=1,"31-60 min",TRUE,"&gt;60 min"))</f>
        <v>&lt;=15 min</v>
      </c>
      <c r="L59">
        <f>_xlfn.XLOOKUP(A59,Lead_Data!A:A,Lead_Data!H:H,0)</f>
        <v>1</v>
      </c>
    </row>
    <row r="60" spans="1:12" x14ac:dyDescent="0.3">
      <c r="A60" t="s">
        <v>110</v>
      </c>
      <c r="B60" t="s">
        <v>8</v>
      </c>
      <c r="C60" s="2">
        <v>46195.564040363221</v>
      </c>
      <c r="D60" s="2">
        <v>46195.574457029878</v>
      </c>
      <c r="E60" s="2">
        <v>46195.949457029878</v>
      </c>
      <c r="F60" s="2">
        <v>46195.866123696549</v>
      </c>
      <c r="G60" s="2">
        <v>46196.366123696549</v>
      </c>
      <c r="J60" s="43">
        <f t="shared" si="0"/>
        <v>0.25</v>
      </c>
      <c r="K60" t="str" cm="1">
        <f t="array" ref="K60">IF(D60="","No Call",_xlfn.IFS(J60&lt;=0.25,"&lt;=15 min",J60&lt;=0.5,"16-30 min",J60&lt;=1,"31-60 min",TRUE,"&gt;60 min"))</f>
        <v>&lt;=15 min</v>
      </c>
      <c r="L60">
        <f>_xlfn.XLOOKUP(A60,Lead_Data!A:A,Lead_Data!H:H,0)</f>
        <v>0</v>
      </c>
    </row>
    <row r="61" spans="1:12" x14ac:dyDescent="0.3">
      <c r="A61" t="s">
        <v>111</v>
      </c>
      <c r="B61" t="s">
        <v>6</v>
      </c>
      <c r="C61" s="2">
        <v>46199.649062715907</v>
      </c>
      <c r="D61" s="2">
        <v>46199.673368271469</v>
      </c>
      <c r="E61" s="2">
        <v>46201.256701604812</v>
      </c>
      <c r="J61" s="43">
        <f t="shared" si="0"/>
        <v>0.58330000000000004</v>
      </c>
      <c r="K61" t="str" cm="1">
        <f t="array" ref="K61">IF(D61="","No Call",_xlfn.IFS(J61&lt;=0.25,"&lt;=15 min",J61&lt;=0.5,"16-30 min",J61&lt;=1,"31-60 min",TRUE,"&gt;60 min"))</f>
        <v>31-60 min</v>
      </c>
      <c r="L61">
        <f>_xlfn.XLOOKUP(A61,Lead_Data!A:A,Lead_Data!H:H,0)</f>
        <v>0</v>
      </c>
    </row>
    <row r="62" spans="1:12" x14ac:dyDescent="0.3">
      <c r="A62" t="s">
        <v>112</v>
      </c>
      <c r="B62" t="s">
        <v>16</v>
      </c>
      <c r="C62" s="2">
        <v>46186.23813978969</v>
      </c>
      <c r="D62" s="2">
        <v>46186.455558771173</v>
      </c>
      <c r="E62" s="2">
        <v>46186.830558771173</v>
      </c>
      <c r="F62" s="2">
        <v>46187.080558771173</v>
      </c>
      <c r="G62" s="2">
        <v>46187.872225437837</v>
      </c>
      <c r="H62" s="2">
        <v>46189.038892104501</v>
      </c>
      <c r="J62" s="43">
        <f t="shared" si="0"/>
        <v>0.93340000000000001</v>
      </c>
      <c r="K62" t="str" cm="1">
        <f t="array" ref="K62">IF(D62="","No Call",_xlfn.IFS(J62&lt;=0.25,"&lt;=15 min",J62&lt;=0.5,"16-30 min",J62&lt;=1,"31-60 min",TRUE,"&gt;60 min"))</f>
        <v>31-60 min</v>
      </c>
      <c r="L62">
        <f>_xlfn.XLOOKUP(A62,Lead_Data!A:A,Lead_Data!H:H,0)</f>
        <v>1</v>
      </c>
    </row>
    <row r="63" spans="1:12" x14ac:dyDescent="0.3">
      <c r="A63" t="s">
        <v>113</v>
      </c>
      <c r="B63" t="s">
        <v>14</v>
      </c>
      <c r="C63" s="2">
        <v>46206.40559578198</v>
      </c>
      <c r="D63" s="2">
        <v>46206.431255504198</v>
      </c>
      <c r="E63" s="2">
        <v>46206.764588837526</v>
      </c>
      <c r="F63" s="2">
        <v>46207.181255504198</v>
      </c>
      <c r="G63" s="2">
        <v>46207.597922170869</v>
      </c>
      <c r="J63" s="43">
        <f t="shared" si="0"/>
        <v>0.35010000000000002</v>
      </c>
      <c r="K63" t="str" cm="1">
        <f t="array" ref="K63">IF(D63="","No Call",_xlfn.IFS(J63&lt;=0.25,"&lt;=15 min",J63&lt;=0.5,"16-30 min",J63&lt;=1,"31-60 min",TRUE,"&gt;60 min"))</f>
        <v>16-30 min</v>
      </c>
      <c r="L63">
        <f>_xlfn.XLOOKUP(A63,Lead_Data!A:A,Lead_Data!H:H,0)</f>
        <v>0</v>
      </c>
    </row>
    <row r="64" spans="1:12" x14ac:dyDescent="0.3">
      <c r="A64" t="s">
        <v>114</v>
      </c>
      <c r="B64" t="s">
        <v>3</v>
      </c>
      <c r="C64" s="2">
        <v>46182.439161048424</v>
      </c>
      <c r="D64" s="2">
        <v>46182.443327715089</v>
      </c>
      <c r="E64" s="2">
        <v>46183.026661048432</v>
      </c>
      <c r="F64" s="2">
        <v>46182.818327715089</v>
      </c>
      <c r="G64" s="2">
        <v>46183.651661048432</v>
      </c>
      <c r="H64" s="2">
        <v>46185.151661048432</v>
      </c>
      <c r="I64" s="2">
        <v>46185.693327715089</v>
      </c>
      <c r="J64" s="43">
        <f t="shared" si="0"/>
        <v>0.1</v>
      </c>
      <c r="K64" t="str" cm="1">
        <f t="array" ref="K64">IF(D64="","No Call",_xlfn.IFS(J64&lt;=0.25,"&lt;=15 min",J64&lt;=0.5,"16-30 min",J64&lt;=1,"31-60 min",TRUE,"&gt;60 min"))</f>
        <v>&lt;=15 min</v>
      </c>
      <c r="L64">
        <f>_xlfn.XLOOKUP(A64,Lead_Data!A:A,Lead_Data!H:H,0)</f>
        <v>1</v>
      </c>
    </row>
    <row r="65" spans="1:12" x14ac:dyDescent="0.3">
      <c r="A65" t="s">
        <v>116</v>
      </c>
      <c r="B65" t="s">
        <v>14</v>
      </c>
      <c r="C65" s="2">
        <v>46209.004425760613</v>
      </c>
      <c r="D65" s="2">
        <v>46209.429865575417</v>
      </c>
      <c r="E65" s="2">
        <v>46210.13819890876</v>
      </c>
      <c r="F65" s="2">
        <v>46209.554865575417</v>
      </c>
      <c r="J65" s="43">
        <f t="shared" si="0"/>
        <v>0.31680000000000003</v>
      </c>
      <c r="K65" t="str" cm="1">
        <f t="array" ref="K65">IF(D65="","No Call",_xlfn.IFS(J65&lt;=0.25,"&lt;=15 min",J65&lt;=0.5,"16-30 min",J65&lt;=1,"31-60 min",TRUE,"&gt;60 min"))</f>
        <v>16-30 min</v>
      </c>
      <c r="L65">
        <f>_xlfn.XLOOKUP(A65,Lead_Data!A:A,Lead_Data!H:H,0)</f>
        <v>0</v>
      </c>
    </row>
    <row r="66" spans="1:12" x14ac:dyDescent="0.3">
      <c r="A66" t="s">
        <v>118</v>
      </c>
      <c r="B66" t="s">
        <v>10</v>
      </c>
      <c r="C66" s="2">
        <v>46205.411173710461</v>
      </c>
      <c r="D66" s="2">
        <v>46205.41736584009</v>
      </c>
      <c r="E66" s="2">
        <v>46206.29236584009</v>
      </c>
      <c r="F66" s="2">
        <v>46205.625699173434</v>
      </c>
      <c r="G66" s="2">
        <v>46206.500699173434</v>
      </c>
      <c r="H66" s="2">
        <v>46207.500699173434</v>
      </c>
      <c r="J66" s="43">
        <f t="shared" si="0"/>
        <v>1.6799999999999999E-2</v>
      </c>
      <c r="K66" t="str" cm="1">
        <f t="array" ref="K66">IF(D66="","No Call",_xlfn.IFS(J66&lt;=0.25,"&lt;=15 min",J66&lt;=0.5,"16-30 min",J66&lt;=1,"31-60 min",TRUE,"&gt;60 min"))</f>
        <v>&lt;=15 min</v>
      </c>
      <c r="L66">
        <f>_xlfn.XLOOKUP(A66,Lead_Data!A:A,Lead_Data!H:H,0)</f>
        <v>1</v>
      </c>
    </row>
    <row r="67" spans="1:12" x14ac:dyDescent="0.3">
      <c r="A67" t="s">
        <v>119</v>
      </c>
      <c r="B67" t="s">
        <v>10</v>
      </c>
      <c r="C67" s="2">
        <v>46199.58017953566</v>
      </c>
      <c r="D67" s="2">
        <v>46199.594068424551</v>
      </c>
      <c r="E67" s="2">
        <v>46201.219068424551</v>
      </c>
      <c r="J67" s="43">
        <f t="shared" ref="J67:J101" si="1">IF(D67="","",ROUND(24*MAX(0,(NETWORKDAYS.INTL(INT(C67),INT(D67),11)-1)*(TIME(18,30,0)-TIME(10,0,0))+IF(NETWORKDAYS.INTL(INT(D67),INT(D67),11),MEDIAN(MOD(D67,1),TIME(18,30,0),TIME(10,0,0)),TIME(18,30,0))-IF(NETWORKDAYS.INTL(INT(C67),INT(C67),11),MEDIAN(MOD(C67,1),TIME(18,30,0),TIME(10,0,0)),TIME(10,0,0))),4))</f>
        <v>0.33329999999999999</v>
      </c>
      <c r="K67" t="str" cm="1">
        <f t="array" ref="K67">IF(D67="","No Call",_xlfn.IFS(J67&lt;=0.25,"&lt;=15 min",J67&lt;=0.5,"16-30 min",J67&lt;=1,"31-60 min",TRUE,"&gt;60 min"))</f>
        <v>16-30 min</v>
      </c>
      <c r="L67">
        <f>_xlfn.XLOOKUP(A67,Lead_Data!A:A,Lead_Data!H:H,0)</f>
        <v>0</v>
      </c>
    </row>
    <row r="68" spans="1:12" x14ac:dyDescent="0.3">
      <c r="A68" t="s">
        <v>120</v>
      </c>
      <c r="B68" t="s">
        <v>16</v>
      </c>
      <c r="C68" s="2">
        <v>46193.759574605247</v>
      </c>
      <c r="D68" s="2">
        <v>46195.425546827479</v>
      </c>
      <c r="J68" s="43">
        <f t="shared" si="1"/>
        <v>0.48330000000000001</v>
      </c>
      <c r="K68" t="str" cm="1">
        <f t="array" ref="K68">IF(D68="","No Call",_xlfn.IFS(J68&lt;=0.25,"&lt;=15 min",J68&lt;=0.5,"16-30 min",J68&lt;=1,"31-60 min",TRUE,"&gt;60 min"))</f>
        <v>16-30 min</v>
      </c>
      <c r="L68">
        <f>_xlfn.XLOOKUP(A68,Lead_Data!A:A,Lead_Data!H:H,0)</f>
        <v>0</v>
      </c>
    </row>
    <row r="69" spans="1:12" x14ac:dyDescent="0.3">
      <c r="A69" t="s">
        <v>121</v>
      </c>
      <c r="B69" t="s">
        <v>6</v>
      </c>
      <c r="C69" s="2">
        <v>46197.76877063205</v>
      </c>
      <c r="D69" s="2">
        <v>46198.44238174316</v>
      </c>
      <c r="E69" s="2">
        <v>46198.69238174316</v>
      </c>
      <c r="J69" s="43">
        <f t="shared" si="1"/>
        <v>0.66669999999999996</v>
      </c>
      <c r="K69" t="str" cm="1">
        <f t="array" ref="K69">IF(D69="","No Call",_xlfn.IFS(J69&lt;=0.25,"&lt;=15 min",J69&lt;=0.5,"16-30 min",J69&lt;=1,"31-60 min",TRUE,"&gt;60 min"))</f>
        <v>31-60 min</v>
      </c>
      <c r="L69">
        <f>_xlfn.XLOOKUP(A69,Lead_Data!A:A,Lead_Data!H:H,0)</f>
        <v>0</v>
      </c>
    </row>
    <row r="70" spans="1:12" x14ac:dyDescent="0.3">
      <c r="A70" t="s">
        <v>122</v>
      </c>
      <c r="B70" t="s">
        <v>8</v>
      </c>
      <c r="C70" s="2">
        <v>46198.52079478708</v>
      </c>
      <c r="D70" s="2">
        <v>46198.524267009307</v>
      </c>
      <c r="E70" s="2">
        <v>46199.065933675971</v>
      </c>
      <c r="J70" s="43">
        <f t="shared" si="1"/>
        <v>8.3299999999999999E-2</v>
      </c>
      <c r="K70" t="str" cm="1">
        <f t="array" ref="K70">IF(D70="","No Call",_xlfn.IFS(J70&lt;=0.25,"&lt;=15 min",J70&lt;=0.5,"16-30 min",J70&lt;=1,"31-60 min",TRUE,"&gt;60 min"))</f>
        <v>&lt;=15 min</v>
      </c>
      <c r="L70">
        <f>_xlfn.XLOOKUP(A70,Lead_Data!A:A,Lead_Data!H:H,0)</f>
        <v>0</v>
      </c>
    </row>
    <row r="71" spans="1:12" x14ac:dyDescent="0.3">
      <c r="A71" t="s">
        <v>123</v>
      </c>
      <c r="B71" t="s">
        <v>14</v>
      </c>
      <c r="C71" s="2">
        <v>46199.486547563007</v>
      </c>
      <c r="D71" s="2">
        <v>46199.490019785233</v>
      </c>
      <c r="J71" s="43">
        <f t="shared" si="1"/>
        <v>8.3299999999999999E-2</v>
      </c>
      <c r="K71" t="str" cm="1">
        <f t="array" ref="K71">IF(D71="","No Call",_xlfn.IFS(J71&lt;=0.25,"&lt;=15 min",J71&lt;=0.5,"16-30 min",J71&lt;=1,"31-60 min",TRUE,"&gt;60 min"))</f>
        <v>&lt;=15 min</v>
      </c>
      <c r="L71">
        <f>_xlfn.XLOOKUP(A71,Lead_Data!A:A,Lead_Data!H:H,0)</f>
        <v>0</v>
      </c>
    </row>
    <row r="72" spans="1:12" x14ac:dyDescent="0.3">
      <c r="A72" t="s">
        <v>124</v>
      </c>
      <c r="B72" t="s">
        <v>12</v>
      </c>
      <c r="C72" s="2">
        <v>46196.495030679238</v>
      </c>
      <c r="D72" s="2">
        <v>46196.521419568133</v>
      </c>
      <c r="J72" s="43">
        <f t="shared" si="1"/>
        <v>0.63329999999999997</v>
      </c>
      <c r="K72" t="str" cm="1">
        <f t="array" ref="K72">IF(D72="","No Call",_xlfn.IFS(J72&lt;=0.25,"&lt;=15 min",J72&lt;=0.5,"16-30 min",J72&lt;=1,"31-60 min",TRUE,"&gt;60 min"))</f>
        <v>31-60 min</v>
      </c>
      <c r="L72">
        <f>_xlfn.XLOOKUP(A72,Lead_Data!A:A,Lead_Data!H:H,0)</f>
        <v>0</v>
      </c>
    </row>
    <row r="73" spans="1:12" x14ac:dyDescent="0.3">
      <c r="A73" t="s">
        <v>125</v>
      </c>
      <c r="B73" t="s">
        <v>12</v>
      </c>
      <c r="C73" s="2">
        <v>46183.600599815822</v>
      </c>
      <c r="D73" s="2">
        <v>46183.615183149152</v>
      </c>
      <c r="E73" s="2">
        <v>46185.573516482487</v>
      </c>
      <c r="J73" s="43">
        <f t="shared" si="1"/>
        <v>0.35</v>
      </c>
      <c r="K73" t="str" cm="1">
        <f t="array" ref="K73">IF(D73="","No Call",_xlfn.IFS(J73&lt;=0.25,"&lt;=15 min",J73&lt;=0.5,"16-30 min",J73&lt;=1,"31-60 min",TRUE,"&gt;60 min"))</f>
        <v>16-30 min</v>
      </c>
      <c r="L73">
        <f>_xlfn.XLOOKUP(A73,Lead_Data!A:A,Lead_Data!H:H,0)</f>
        <v>0</v>
      </c>
    </row>
    <row r="74" spans="1:12" x14ac:dyDescent="0.3">
      <c r="A74" t="s">
        <v>126</v>
      </c>
      <c r="B74" t="s">
        <v>8</v>
      </c>
      <c r="C74" s="2">
        <v>46206.336921514798</v>
      </c>
      <c r="D74" s="2">
        <v>46206.427777996287</v>
      </c>
      <c r="E74" s="2">
        <v>46206.761111329623</v>
      </c>
      <c r="J74" s="43">
        <f t="shared" si="1"/>
        <v>0.26669999999999999</v>
      </c>
      <c r="K74" t="str" cm="1">
        <f t="array" ref="K74">IF(D74="","No Call",_xlfn.IFS(J74&lt;=0.25,"&lt;=15 min",J74&lt;=0.5,"16-30 min",J74&lt;=1,"31-60 min",TRUE,"&gt;60 min"))</f>
        <v>16-30 min</v>
      </c>
      <c r="L74">
        <f>_xlfn.XLOOKUP(A74,Lead_Data!A:A,Lead_Data!H:H,0)</f>
        <v>0</v>
      </c>
    </row>
    <row r="75" spans="1:12" x14ac:dyDescent="0.3">
      <c r="A75" t="s">
        <v>127</v>
      </c>
      <c r="B75" t="s">
        <v>10</v>
      </c>
      <c r="C75" s="2">
        <v>46188.723444499279</v>
      </c>
      <c r="D75" s="2">
        <v>46188.735944499284</v>
      </c>
      <c r="E75" s="2">
        <v>46189.735944499284</v>
      </c>
      <c r="F75" s="2">
        <v>46188.819277832619</v>
      </c>
      <c r="G75" s="2">
        <v>46188.985944499284</v>
      </c>
      <c r="J75" s="43">
        <f t="shared" si="1"/>
        <v>0.3</v>
      </c>
      <c r="K75" t="str" cm="1">
        <f t="array" ref="K75">IF(D75="","No Call",_xlfn.IFS(J75&lt;=0.25,"&lt;=15 min",J75&lt;=0.5,"16-30 min",J75&lt;=1,"31-60 min",TRUE,"&gt;60 min"))</f>
        <v>16-30 min</v>
      </c>
      <c r="L75">
        <f>_xlfn.XLOOKUP(A75,Lead_Data!A:A,Lead_Data!H:H,0)</f>
        <v>0</v>
      </c>
    </row>
    <row r="76" spans="1:12" x14ac:dyDescent="0.3">
      <c r="A76" t="s">
        <v>128</v>
      </c>
      <c r="B76" t="s">
        <v>10</v>
      </c>
      <c r="C76" s="2">
        <v>46198.579398844333</v>
      </c>
      <c r="D76" s="2">
        <v>46198.596759955442</v>
      </c>
      <c r="E76" s="2">
        <v>46199.221759955442</v>
      </c>
      <c r="F76" s="2">
        <v>46198.721759955442</v>
      </c>
      <c r="J76" s="43">
        <f t="shared" si="1"/>
        <v>0.41670000000000001</v>
      </c>
      <c r="K76" t="str" cm="1">
        <f t="array" ref="K76">IF(D76="","No Call",_xlfn.IFS(J76&lt;=0.25,"&lt;=15 min",J76&lt;=0.5,"16-30 min",J76&lt;=1,"31-60 min",TRUE,"&gt;60 min"))</f>
        <v>16-30 min</v>
      </c>
      <c r="L76">
        <f>_xlfn.XLOOKUP(A76,Lead_Data!A:A,Lead_Data!H:H,0)</f>
        <v>0</v>
      </c>
    </row>
    <row r="77" spans="1:12" x14ac:dyDescent="0.3">
      <c r="A77" t="s">
        <v>129</v>
      </c>
      <c r="B77" t="s">
        <v>11</v>
      </c>
      <c r="C77" s="2">
        <v>46193.542724178733</v>
      </c>
      <c r="D77" s="2">
        <v>46193.551751956496</v>
      </c>
      <c r="E77" s="2">
        <v>46193.635085289839</v>
      </c>
      <c r="F77" s="2">
        <v>46193.593418623168</v>
      </c>
      <c r="G77" s="2">
        <v>46194.093418623168</v>
      </c>
      <c r="J77" s="43">
        <f t="shared" si="1"/>
        <v>0.2167</v>
      </c>
      <c r="K77" t="str" cm="1">
        <f t="array" ref="K77">IF(D77="","No Call",_xlfn.IFS(J77&lt;=0.25,"&lt;=15 min",J77&lt;=0.5,"16-30 min",J77&lt;=1,"31-60 min",TRUE,"&gt;60 min"))</f>
        <v>&lt;=15 min</v>
      </c>
      <c r="L77">
        <f>_xlfn.XLOOKUP(A77,Lead_Data!A:A,Lead_Data!H:H,0)</f>
        <v>0</v>
      </c>
    </row>
    <row r="78" spans="1:12" x14ac:dyDescent="0.3">
      <c r="A78" t="s">
        <v>130</v>
      </c>
      <c r="B78" t="s">
        <v>16</v>
      </c>
      <c r="C78" s="2">
        <v>46201.775715905773</v>
      </c>
      <c r="D78" s="2">
        <v>46202.417370998373</v>
      </c>
      <c r="E78" s="2">
        <v>46203.334037665038</v>
      </c>
      <c r="F78" s="2">
        <v>46202.875704331702</v>
      </c>
      <c r="G78" s="2">
        <v>46203.084037665038</v>
      </c>
      <c r="H78" s="2">
        <v>46204.000704331702</v>
      </c>
      <c r="J78" s="43">
        <f t="shared" si="1"/>
        <v>1.6899999999999998E-2</v>
      </c>
      <c r="K78" t="str" cm="1">
        <f t="array" ref="K78">IF(D78="","No Call",_xlfn.IFS(J78&lt;=0.25,"&lt;=15 min",J78&lt;=0.5,"16-30 min",J78&lt;=1,"31-60 min",TRUE,"&gt;60 min"))</f>
        <v>&lt;=15 min</v>
      </c>
      <c r="L78">
        <f>_xlfn.XLOOKUP(A78,Lead_Data!A:A,Lead_Data!H:H,0)</f>
        <v>1</v>
      </c>
    </row>
    <row r="79" spans="1:12" x14ac:dyDescent="0.3">
      <c r="A79" t="s">
        <v>131</v>
      </c>
      <c r="B79" t="s">
        <v>7</v>
      </c>
      <c r="C79" s="2">
        <v>46186.726682269757</v>
      </c>
      <c r="D79" s="2">
        <v>46186.7398767142</v>
      </c>
      <c r="E79" s="2">
        <v>46187.2398767142</v>
      </c>
      <c r="F79" s="2">
        <v>46187.4898767142</v>
      </c>
      <c r="G79" s="2">
        <v>46188.531543380857</v>
      </c>
      <c r="J79" s="43">
        <f t="shared" si="1"/>
        <v>0.31669999999999998</v>
      </c>
      <c r="K79" t="str" cm="1">
        <f t="array" ref="K79">IF(D79="","No Call",_xlfn.IFS(J79&lt;=0.25,"&lt;=15 min",J79&lt;=0.5,"16-30 min",J79&lt;=1,"31-60 min",TRUE,"&gt;60 min"))</f>
        <v>16-30 min</v>
      </c>
      <c r="L79">
        <f>_xlfn.XLOOKUP(A79,Lead_Data!A:A,Lead_Data!H:H,0)</f>
        <v>0</v>
      </c>
    </row>
    <row r="80" spans="1:12" x14ac:dyDescent="0.3">
      <c r="A80" t="s">
        <v>132</v>
      </c>
      <c r="B80" t="s">
        <v>12</v>
      </c>
      <c r="C80" s="2">
        <v>46183.453939357423</v>
      </c>
      <c r="D80" s="2">
        <v>46183.469911579639</v>
      </c>
      <c r="E80" s="2">
        <v>46183.719911579639</v>
      </c>
      <c r="J80" s="43">
        <f t="shared" si="1"/>
        <v>0.38329999999999997</v>
      </c>
      <c r="K80" t="str" cm="1">
        <f t="array" ref="K80">IF(D80="","No Call",_xlfn.IFS(J80&lt;=0.25,"&lt;=15 min",J80&lt;=0.5,"16-30 min",J80&lt;=1,"31-60 min",TRUE,"&gt;60 min"))</f>
        <v>16-30 min</v>
      </c>
      <c r="L80">
        <f>_xlfn.XLOOKUP(A80,Lead_Data!A:A,Lead_Data!H:H,0)</f>
        <v>0</v>
      </c>
    </row>
    <row r="81" spans="1:12" x14ac:dyDescent="0.3">
      <c r="A81" t="s">
        <v>133</v>
      </c>
      <c r="B81" t="s">
        <v>3</v>
      </c>
      <c r="C81" s="2">
        <v>46181.662179747058</v>
      </c>
      <c r="D81" s="2">
        <v>46181.665651969277</v>
      </c>
      <c r="E81" s="2">
        <v>46183.623985302613</v>
      </c>
      <c r="J81" s="43">
        <f t="shared" si="1"/>
        <v>8.3299999999999999E-2</v>
      </c>
      <c r="K81" t="str" cm="1">
        <f t="array" ref="K81">IF(D81="","No Call",_xlfn.IFS(J81&lt;=0.25,"&lt;=15 min",J81&lt;=0.5,"16-30 min",J81&lt;=1,"31-60 min",TRUE,"&gt;60 min"))</f>
        <v>&lt;=15 min</v>
      </c>
      <c r="L81">
        <f>_xlfn.XLOOKUP(A81,Lead_Data!A:A,Lead_Data!H:H,0)</f>
        <v>0</v>
      </c>
    </row>
    <row r="82" spans="1:12" x14ac:dyDescent="0.3">
      <c r="A82" t="s">
        <v>134</v>
      </c>
      <c r="B82" t="s">
        <v>3</v>
      </c>
      <c r="C82" s="2">
        <v>46208.416882639001</v>
      </c>
      <c r="D82" s="2">
        <v>46209.418063194556</v>
      </c>
      <c r="E82" s="2">
        <v>46210.709729861228</v>
      </c>
      <c r="J82" s="43">
        <f t="shared" si="1"/>
        <v>3.3500000000000002E-2</v>
      </c>
      <c r="K82" t="str" cm="1">
        <f t="array" ref="K82">IF(D82="","No Call",_xlfn.IFS(J82&lt;=0.25,"&lt;=15 min",J82&lt;=0.5,"16-30 min",J82&lt;=1,"31-60 min",TRUE,"&gt;60 min"))</f>
        <v>&lt;=15 min</v>
      </c>
      <c r="L82">
        <f>_xlfn.XLOOKUP(A82,Lead_Data!A:A,Lead_Data!H:H,0)</f>
        <v>0</v>
      </c>
    </row>
    <row r="83" spans="1:12" x14ac:dyDescent="0.3">
      <c r="A83" t="s">
        <v>135</v>
      </c>
      <c r="B83" t="s">
        <v>12</v>
      </c>
      <c r="C83" s="2">
        <v>46191.594116231972</v>
      </c>
      <c r="D83" s="2">
        <v>46191.60106067641</v>
      </c>
      <c r="J83" s="43">
        <f t="shared" si="1"/>
        <v>0.16669999999999999</v>
      </c>
      <c r="K83" t="str" cm="1">
        <f t="array" ref="K83">IF(D83="","No Call",_xlfn.IFS(J83&lt;=0.25,"&lt;=15 min",J83&lt;=0.5,"16-30 min",J83&lt;=1,"31-60 min",TRUE,"&gt;60 min"))</f>
        <v>&lt;=15 min</v>
      </c>
      <c r="L83">
        <f>_xlfn.XLOOKUP(A83,Lead_Data!A:A,Lead_Data!H:H,0)</f>
        <v>0</v>
      </c>
    </row>
    <row r="84" spans="1:12" x14ac:dyDescent="0.3">
      <c r="A84" t="s">
        <v>136</v>
      </c>
      <c r="B84" t="s">
        <v>12</v>
      </c>
      <c r="C84" s="2">
        <v>46209.524374846529</v>
      </c>
      <c r="D84" s="2">
        <v>46209.527152624309</v>
      </c>
      <c r="E84" s="2">
        <v>46210.360485957637</v>
      </c>
      <c r="J84" s="43">
        <f t="shared" si="1"/>
        <v>6.6699999999999995E-2</v>
      </c>
      <c r="K84" t="str" cm="1">
        <f t="array" ref="K84">IF(D84="","No Call",_xlfn.IFS(J84&lt;=0.25,"&lt;=15 min",J84&lt;=0.5,"16-30 min",J84&lt;=1,"31-60 min",TRUE,"&gt;60 min"))</f>
        <v>&lt;=15 min</v>
      </c>
      <c r="L84">
        <f>_xlfn.XLOOKUP(A84,Lead_Data!A:A,Lead_Data!H:H,0)</f>
        <v>0</v>
      </c>
    </row>
    <row r="85" spans="1:12" x14ac:dyDescent="0.3">
      <c r="A85" t="s">
        <v>137</v>
      </c>
      <c r="B85" t="s">
        <v>3</v>
      </c>
      <c r="C85" s="2">
        <v>46198.945261345762</v>
      </c>
      <c r="D85" s="2">
        <v>46199.417367827242</v>
      </c>
      <c r="E85" s="2">
        <v>46200.209034493913</v>
      </c>
      <c r="F85" s="2">
        <v>46199.542367827242</v>
      </c>
      <c r="G85" s="2">
        <v>46200.459034493913</v>
      </c>
      <c r="H85" s="2">
        <v>46200.750701160578</v>
      </c>
      <c r="J85" s="43">
        <f t="shared" si="1"/>
        <v>1.6799999999999999E-2</v>
      </c>
      <c r="K85" t="str" cm="1">
        <f t="array" ref="K85">IF(D85="","No Call",_xlfn.IFS(J85&lt;=0.25,"&lt;=15 min",J85&lt;=0.5,"16-30 min",J85&lt;=1,"31-60 min",TRUE,"&gt;60 min"))</f>
        <v>&lt;=15 min</v>
      </c>
      <c r="L85">
        <f>_xlfn.XLOOKUP(A85,Lead_Data!A:A,Lead_Data!H:H,0)</f>
        <v>1</v>
      </c>
    </row>
    <row r="86" spans="1:12" x14ac:dyDescent="0.3">
      <c r="A86" t="s">
        <v>138</v>
      </c>
      <c r="B86" t="s">
        <v>8</v>
      </c>
      <c r="C86" s="2">
        <v>46187.530669863459</v>
      </c>
      <c r="D86" s="2">
        <v>46188.423621252346</v>
      </c>
      <c r="E86" s="2">
        <v>46189.381954585682</v>
      </c>
      <c r="F86" s="2">
        <v>46188.506954585682</v>
      </c>
      <c r="G86" s="2">
        <v>46189.423621252346</v>
      </c>
      <c r="H86" s="2">
        <v>46189.756954585682</v>
      </c>
      <c r="J86" s="43">
        <f t="shared" si="1"/>
        <v>0.16689999999999999</v>
      </c>
      <c r="K86" t="str" cm="1">
        <f t="array" ref="K86">IF(D86="","No Call",_xlfn.IFS(J86&lt;=0.25,"&lt;=15 min",J86&lt;=0.5,"16-30 min",J86&lt;=1,"31-60 min",TRUE,"&gt;60 min"))</f>
        <v>&lt;=15 min</v>
      </c>
      <c r="L86">
        <f>_xlfn.XLOOKUP(A86,Lead_Data!A:A,Lead_Data!H:H,0)</f>
        <v>1</v>
      </c>
    </row>
    <row r="87" spans="1:12" x14ac:dyDescent="0.3">
      <c r="A87" t="s">
        <v>139</v>
      </c>
      <c r="B87" t="s">
        <v>5</v>
      </c>
      <c r="C87" s="2">
        <v>46191.639953801787</v>
      </c>
      <c r="D87" s="2">
        <v>46191.678148246239</v>
      </c>
      <c r="E87" s="2">
        <v>46191.886481579582</v>
      </c>
      <c r="F87" s="2">
        <v>46192.178148246239</v>
      </c>
      <c r="G87" s="2">
        <v>46192.386481579582</v>
      </c>
      <c r="J87" s="43">
        <f t="shared" si="1"/>
        <v>0.91669999999999996</v>
      </c>
      <c r="K87" t="str" cm="1">
        <f t="array" ref="K87">IF(D87="","No Call",_xlfn.IFS(J87&lt;=0.25,"&lt;=15 min",J87&lt;=0.5,"16-30 min",J87&lt;=1,"31-60 min",TRUE,"&gt;60 min"))</f>
        <v>31-60 min</v>
      </c>
      <c r="L87">
        <f>_xlfn.XLOOKUP(A87,Lead_Data!A:A,Lead_Data!H:H,0)</f>
        <v>0</v>
      </c>
    </row>
    <row r="88" spans="1:12" x14ac:dyDescent="0.3">
      <c r="A88" t="s">
        <v>140</v>
      </c>
      <c r="B88" t="s">
        <v>18</v>
      </c>
      <c r="C88" s="2">
        <v>46182.608837864813</v>
      </c>
      <c r="D88" s="2">
        <v>46182.624810087043</v>
      </c>
      <c r="E88" s="2">
        <v>46183.4164767537</v>
      </c>
      <c r="J88" s="43">
        <f t="shared" si="1"/>
        <v>0.38329999999999997</v>
      </c>
      <c r="K88" t="str" cm="1">
        <f t="array" ref="K88">IF(D88="","No Call",_xlfn.IFS(J88&lt;=0.25,"&lt;=15 min",J88&lt;=0.5,"16-30 min",J88&lt;=1,"31-60 min",TRUE,"&gt;60 min"))</f>
        <v>16-30 min</v>
      </c>
      <c r="L88">
        <f>_xlfn.XLOOKUP(A88,Lead_Data!A:A,Lead_Data!H:H,0)</f>
        <v>0</v>
      </c>
    </row>
    <row r="89" spans="1:12" x14ac:dyDescent="0.3">
      <c r="A89" t="s">
        <v>141</v>
      </c>
      <c r="B89" t="s">
        <v>16</v>
      </c>
      <c r="C89" s="2">
        <v>46205.504342681088</v>
      </c>
      <c r="D89" s="2">
        <v>46205.522398236637</v>
      </c>
      <c r="J89" s="43">
        <f t="shared" si="1"/>
        <v>0.43330000000000002</v>
      </c>
      <c r="K89" t="str" cm="1">
        <f t="array" ref="K89">IF(D89="","No Call",_xlfn.IFS(J89&lt;=0.25,"&lt;=15 min",J89&lt;=0.5,"16-30 min",J89&lt;=1,"31-60 min",TRUE,"&gt;60 min"))</f>
        <v>16-30 min</v>
      </c>
      <c r="L89">
        <f>_xlfn.XLOOKUP(A89,Lead_Data!A:A,Lead_Data!H:H,0)</f>
        <v>0</v>
      </c>
    </row>
    <row r="90" spans="1:12" x14ac:dyDescent="0.3">
      <c r="A90" t="s">
        <v>142</v>
      </c>
      <c r="B90" t="s">
        <v>12</v>
      </c>
      <c r="C90" s="2">
        <v>46192.476580587303</v>
      </c>
      <c r="D90" s="2">
        <v>46192.488386142861</v>
      </c>
      <c r="J90" s="43">
        <f t="shared" si="1"/>
        <v>0.2833</v>
      </c>
      <c r="K90" t="str" cm="1">
        <f t="array" ref="K90">IF(D90="","No Call",_xlfn.IFS(J90&lt;=0.25,"&lt;=15 min",J90&lt;=0.5,"16-30 min",J90&lt;=1,"31-60 min",TRUE,"&gt;60 min"))</f>
        <v>16-30 min</v>
      </c>
      <c r="L90">
        <f>_xlfn.XLOOKUP(A90,Lead_Data!A:A,Lead_Data!H:H,0)</f>
        <v>0</v>
      </c>
    </row>
    <row r="91" spans="1:12" x14ac:dyDescent="0.3">
      <c r="A91" t="s">
        <v>143</v>
      </c>
      <c r="B91" t="s">
        <v>14</v>
      </c>
      <c r="C91" s="2">
        <v>46201.720472661073</v>
      </c>
      <c r="D91" s="2">
        <v>46202.430565253657</v>
      </c>
      <c r="J91" s="43">
        <f t="shared" si="1"/>
        <v>0.33360000000000001</v>
      </c>
      <c r="K91" t="str" cm="1">
        <f t="array" ref="K91">IF(D91="","No Call",_xlfn.IFS(J91&lt;=0.25,"&lt;=15 min",J91&lt;=0.5,"16-30 min",J91&lt;=1,"31-60 min",TRUE,"&gt;60 min"))</f>
        <v>16-30 min</v>
      </c>
      <c r="L91">
        <f>_xlfn.XLOOKUP(A91,Lead_Data!A:A,Lead_Data!H:H,0)</f>
        <v>0</v>
      </c>
    </row>
    <row r="92" spans="1:12" x14ac:dyDescent="0.3">
      <c r="A92" t="s">
        <v>144</v>
      </c>
      <c r="B92" t="s">
        <v>12</v>
      </c>
      <c r="C92" s="2">
        <v>46196.744560855637</v>
      </c>
      <c r="D92" s="2">
        <v>46196.761921966747</v>
      </c>
      <c r="J92" s="43">
        <f t="shared" si="1"/>
        <v>0.41670000000000001</v>
      </c>
      <c r="K92" t="str" cm="1">
        <f t="array" ref="K92">IF(D92="","No Call",_xlfn.IFS(J92&lt;=0.25,"&lt;=15 min",J92&lt;=0.5,"16-30 min",J92&lt;=1,"31-60 min",TRUE,"&gt;60 min"))</f>
        <v>16-30 min</v>
      </c>
      <c r="L92">
        <f>_xlfn.XLOOKUP(A92,Lead_Data!A:A,Lead_Data!H:H,0)</f>
        <v>0</v>
      </c>
    </row>
    <row r="93" spans="1:12" x14ac:dyDescent="0.3">
      <c r="A93" t="s">
        <v>145</v>
      </c>
      <c r="B93" t="s">
        <v>6</v>
      </c>
      <c r="C93" s="2">
        <v>46189.493823700926</v>
      </c>
      <c r="D93" s="2">
        <v>46189.540351478703</v>
      </c>
      <c r="J93" s="43">
        <f t="shared" si="1"/>
        <v>1.1167</v>
      </c>
      <c r="K93" t="str" cm="1">
        <f t="array" ref="K93">IF(D93="","No Call",_xlfn.IFS(J93&lt;=0.25,"&lt;=15 min",J93&lt;=0.5,"16-30 min",J93&lt;=1,"31-60 min",TRUE,"&gt;60 min"))</f>
        <v>&gt;60 min</v>
      </c>
      <c r="L93">
        <f>_xlfn.XLOOKUP(A93,Lead_Data!A:A,Lead_Data!H:H,0)</f>
        <v>0</v>
      </c>
    </row>
    <row r="94" spans="1:12" x14ac:dyDescent="0.3">
      <c r="A94" t="s">
        <v>146</v>
      </c>
      <c r="B94" t="s">
        <v>16</v>
      </c>
      <c r="C94" s="2">
        <v>46183.558849828987</v>
      </c>
      <c r="D94" s="2">
        <v>46183.606072051218</v>
      </c>
      <c r="J94" s="43">
        <f t="shared" si="1"/>
        <v>1.1333</v>
      </c>
      <c r="K94" t="str" cm="1">
        <f t="array" ref="K94">IF(D94="","No Call",_xlfn.IFS(J94&lt;=0.25,"&lt;=15 min",J94&lt;=0.5,"16-30 min",J94&lt;=1,"31-60 min",TRUE,"&gt;60 min"))</f>
        <v>&gt;60 min</v>
      </c>
      <c r="L94">
        <f>_xlfn.XLOOKUP(A94,Lead_Data!A:A,Lead_Data!H:H,0)</f>
        <v>0</v>
      </c>
    </row>
    <row r="95" spans="1:12" x14ac:dyDescent="0.3">
      <c r="A95" t="s">
        <v>147</v>
      </c>
      <c r="B95" t="s">
        <v>10</v>
      </c>
      <c r="C95" s="2">
        <v>46186.737937145597</v>
      </c>
      <c r="D95" s="2">
        <v>46186.754603812267</v>
      </c>
      <c r="J95" s="43">
        <f t="shared" si="1"/>
        <v>0.4</v>
      </c>
      <c r="K95" t="str" cm="1">
        <f t="array" ref="K95">IF(D95="","No Call",_xlfn.IFS(J95&lt;=0.25,"&lt;=15 min",J95&lt;=0.5,"16-30 min",J95&lt;=1,"31-60 min",TRUE,"&gt;60 min"))</f>
        <v>16-30 min</v>
      </c>
      <c r="L95">
        <f>_xlfn.XLOOKUP(A95,Lead_Data!A:A,Lead_Data!H:H,0)</f>
        <v>0</v>
      </c>
    </row>
    <row r="96" spans="1:12" x14ac:dyDescent="0.3">
      <c r="A96" t="s">
        <v>148</v>
      </c>
      <c r="B96" t="s">
        <v>14</v>
      </c>
      <c r="C96" s="2">
        <v>46195.620443877167</v>
      </c>
      <c r="D96" s="2">
        <v>46195.640582766056</v>
      </c>
      <c r="E96" s="2">
        <v>46196.932249432721</v>
      </c>
      <c r="J96" s="43">
        <f t="shared" si="1"/>
        <v>0.48330000000000001</v>
      </c>
      <c r="K96" t="str" cm="1">
        <f t="array" ref="K96">IF(D96="","No Call",_xlfn.IFS(J96&lt;=0.25,"&lt;=15 min",J96&lt;=0.5,"16-30 min",J96&lt;=1,"31-60 min",TRUE,"&gt;60 min"))</f>
        <v>16-30 min</v>
      </c>
      <c r="L96">
        <f>_xlfn.XLOOKUP(A96,Lead_Data!A:A,Lead_Data!H:H,0)</f>
        <v>0</v>
      </c>
    </row>
    <row r="97" spans="1:12" x14ac:dyDescent="0.3">
      <c r="A97" t="s">
        <v>149</v>
      </c>
      <c r="B97" t="s">
        <v>8</v>
      </c>
      <c r="C97" s="2">
        <v>46190.855819023389</v>
      </c>
      <c r="D97" s="2">
        <v>46191.427092171543</v>
      </c>
      <c r="E97" s="2">
        <v>46191.760425504872</v>
      </c>
      <c r="F97" s="2">
        <v>46191.552092171543</v>
      </c>
      <c r="G97" s="2">
        <v>46192.135425504872</v>
      </c>
      <c r="H97" s="2">
        <v>46193.385425504872</v>
      </c>
      <c r="J97" s="43">
        <f t="shared" si="1"/>
        <v>0.25019999999999998</v>
      </c>
      <c r="K97" t="str" cm="1">
        <f t="array" ref="K97">IF(D97="","No Call",_xlfn.IFS(J97&lt;=0.25,"&lt;=15 min",J97&lt;=0.5,"16-30 min",J97&lt;=1,"31-60 min",TRUE,"&gt;60 min"))</f>
        <v>16-30 min</v>
      </c>
      <c r="L97">
        <f>_xlfn.XLOOKUP(A97,Lead_Data!A:A,Lead_Data!H:H,0)</f>
        <v>1</v>
      </c>
    </row>
    <row r="98" spans="1:12" x14ac:dyDescent="0.3">
      <c r="A98" t="s">
        <v>150</v>
      </c>
      <c r="B98" t="s">
        <v>16</v>
      </c>
      <c r="C98" s="2">
        <v>46185.733069370523</v>
      </c>
      <c r="D98" s="2">
        <v>46185.74279159274</v>
      </c>
      <c r="E98" s="2">
        <v>46186.076124926083</v>
      </c>
      <c r="F98" s="2">
        <v>46186.576124926083</v>
      </c>
      <c r="G98" s="2">
        <v>46187.36779159274</v>
      </c>
      <c r="J98" s="43">
        <f t="shared" si="1"/>
        <v>0.23330000000000001</v>
      </c>
      <c r="K98" t="str" cm="1">
        <f t="array" ref="K98">IF(D98="","No Call",_xlfn.IFS(J98&lt;=0.25,"&lt;=15 min",J98&lt;=0.5,"16-30 min",J98&lt;=1,"31-60 min",TRUE,"&gt;60 min"))</f>
        <v>&lt;=15 min</v>
      </c>
      <c r="L98">
        <f>_xlfn.XLOOKUP(A98,Lead_Data!A:A,Lead_Data!H:H,0)</f>
        <v>0</v>
      </c>
    </row>
    <row r="99" spans="1:12" x14ac:dyDescent="0.3">
      <c r="A99" t="s">
        <v>151</v>
      </c>
      <c r="B99" t="s">
        <v>12</v>
      </c>
      <c r="C99" s="2">
        <v>46205.604774790569</v>
      </c>
      <c r="D99" s="2">
        <v>46205.609635901681</v>
      </c>
      <c r="E99" s="2">
        <v>46206.31796923501</v>
      </c>
      <c r="F99" s="2">
        <v>46205.984635901681</v>
      </c>
      <c r="G99" s="2">
        <v>46207.06796923501</v>
      </c>
      <c r="H99" s="2">
        <v>46208.151302568353</v>
      </c>
      <c r="I99" s="2">
        <v>46209.151302568353</v>
      </c>
      <c r="J99" s="43">
        <f t="shared" si="1"/>
        <v>0.1167</v>
      </c>
      <c r="K99" t="str" cm="1">
        <f t="array" ref="K99">IF(D99="","No Call",_xlfn.IFS(J99&lt;=0.25,"&lt;=15 min",J99&lt;=0.5,"16-30 min",J99&lt;=1,"31-60 min",TRUE,"&gt;60 min"))</f>
        <v>&lt;=15 min</v>
      </c>
      <c r="L99">
        <f>_xlfn.XLOOKUP(A99,Lead_Data!A:A,Lead_Data!H:H,0)</f>
        <v>1</v>
      </c>
    </row>
    <row r="100" spans="1:12" x14ac:dyDescent="0.3">
      <c r="A100" t="s">
        <v>152</v>
      </c>
      <c r="B100" t="s">
        <v>6</v>
      </c>
      <c r="C100" s="2">
        <v>46207.622691832497</v>
      </c>
      <c r="D100" s="2">
        <v>46207.642830721386</v>
      </c>
      <c r="E100" s="2">
        <v>46208.142830721386</v>
      </c>
      <c r="F100" s="2">
        <v>46208.392830721386</v>
      </c>
      <c r="G100" s="2">
        <v>46208.559497388058</v>
      </c>
      <c r="H100" s="2">
        <v>46209.309497388058</v>
      </c>
      <c r="I100" s="2">
        <v>46209.726164054722</v>
      </c>
      <c r="J100" s="43">
        <f t="shared" si="1"/>
        <v>0.48330000000000001</v>
      </c>
      <c r="K100" t="str" cm="1">
        <f t="array" ref="K100">IF(D100="","No Call",_xlfn.IFS(J100&lt;=0.25,"&lt;=15 min",J100&lt;=0.5,"16-30 min",J100&lt;=1,"31-60 min",TRUE,"&gt;60 min"))</f>
        <v>16-30 min</v>
      </c>
      <c r="L100">
        <f>_xlfn.XLOOKUP(A100,Lead_Data!A:A,Lead_Data!H:H,0)</f>
        <v>1</v>
      </c>
    </row>
    <row r="101" spans="1:12" x14ac:dyDescent="0.3">
      <c r="A101" t="s">
        <v>153</v>
      </c>
      <c r="B101" t="s">
        <v>6</v>
      </c>
      <c r="C101" s="2">
        <v>46196.528552610187</v>
      </c>
      <c r="D101" s="2">
        <v>46196.548691499083</v>
      </c>
      <c r="J101" s="43">
        <f t="shared" si="1"/>
        <v>0.48330000000000001</v>
      </c>
      <c r="K101" t="str" cm="1">
        <f t="array" ref="K101">IF(D101="","No Call",_xlfn.IFS(J101&lt;=0.25,"&lt;=15 min",J101&lt;=0.5,"16-30 min",J101&lt;=1,"31-60 min",TRUE,"&gt;60 min"))</f>
        <v>16-30 min</v>
      </c>
      <c r="L101">
        <f>_xlfn.XLOOKUP(A101,Lead_Data!A:A,Lead_Data!H:H,0)</f>
        <v>0</v>
      </c>
    </row>
  </sheetData>
  <autoFilter ref="A1:J1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>
      <selection activeCell="H2" sqref="H2"/>
    </sheetView>
  </sheetViews>
  <sheetFormatPr defaultColWidth="8.77734375" defaultRowHeight="14.4" x14ac:dyDescent="0.3"/>
  <cols>
    <col min="1" max="1" width="22.109375" customWidth="1"/>
    <col min="2" max="2" width="14.44140625" customWidth="1"/>
    <col min="3" max="3" width="15.6640625" customWidth="1"/>
    <col min="4" max="4" width="17" bestFit="1" customWidth="1"/>
    <col min="5" max="5" width="16.88671875" customWidth="1"/>
    <col min="6" max="6" width="13.88671875" customWidth="1"/>
    <col min="7" max="7" width="15.5546875" customWidth="1"/>
  </cols>
  <sheetData>
    <row r="1" spans="1:7" x14ac:dyDescent="0.3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31" t="s">
        <v>199</v>
      </c>
      <c r="G1" s="31" t="s">
        <v>200</v>
      </c>
    </row>
    <row r="2" spans="1:7" x14ac:dyDescent="0.3">
      <c r="A2" s="3">
        <v>46203.377623371583</v>
      </c>
      <c r="B2" t="s">
        <v>16</v>
      </c>
      <c r="C2" t="s">
        <v>162</v>
      </c>
      <c r="D2">
        <v>202</v>
      </c>
      <c r="E2" t="s">
        <v>163</v>
      </c>
      <c r="F2" t="str">
        <f t="shared" ref="F2:F33" si="0">IF(MOD(A2,1)&lt;TIME(12,0,0),"Before 12:00",IF(MOD(A2,1)&lt;TIME(15,0,0),"12:00-15:00",IF(MOD(A2,1)&lt;TIME(18,0,0),"15:00-18:00","After 18:00")))</f>
        <v>Before 12:00</v>
      </c>
      <c r="G2">
        <f t="shared" ref="G2:G33" si="1">--(E2="ANSWER")</f>
        <v>1</v>
      </c>
    </row>
    <row r="3" spans="1:7" x14ac:dyDescent="0.3">
      <c r="A3" s="3">
        <v>46204.031333170773</v>
      </c>
      <c r="B3" t="s">
        <v>12</v>
      </c>
      <c r="C3" t="s">
        <v>162</v>
      </c>
      <c r="D3">
        <v>14</v>
      </c>
      <c r="E3" t="s">
        <v>166</v>
      </c>
      <c r="F3" t="str">
        <f t="shared" si="0"/>
        <v>Before 12:00</v>
      </c>
      <c r="G3">
        <f t="shared" si="1"/>
        <v>0</v>
      </c>
    </row>
    <row r="4" spans="1:7" x14ac:dyDescent="0.3">
      <c r="A4" s="3">
        <v>46204.153235468228</v>
      </c>
      <c r="B4" t="s">
        <v>6</v>
      </c>
      <c r="C4" t="s">
        <v>162</v>
      </c>
      <c r="D4">
        <v>0</v>
      </c>
      <c r="E4" t="s">
        <v>167</v>
      </c>
      <c r="F4" t="str">
        <f t="shared" si="0"/>
        <v>Before 12:00</v>
      </c>
      <c r="G4">
        <f t="shared" si="1"/>
        <v>0</v>
      </c>
    </row>
    <row r="5" spans="1:7" x14ac:dyDescent="0.3">
      <c r="A5" s="3">
        <v>46204.179869864507</v>
      </c>
      <c r="B5" t="s">
        <v>3</v>
      </c>
      <c r="C5" t="s">
        <v>162</v>
      </c>
      <c r="D5">
        <v>2</v>
      </c>
      <c r="E5" t="s">
        <v>167</v>
      </c>
      <c r="F5" t="str">
        <f t="shared" si="0"/>
        <v>Before 12:00</v>
      </c>
      <c r="G5">
        <f t="shared" si="1"/>
        <v>0</v>
      </c>
    </row>
    <row r="6" spans="1:7" x14ac:dyDescent="0.3">
      <c r="A6" s="3">
        <v>46204.356487669851</v>
      </c>
      <c r="B6" t="s">
        <v>9</v>
      </c>
      <c r="C6" t="s">
        <v>162</v>
      </c>
      <c r="D6">
        <v>208</v>
      </c>
      <c r="E6" t="s">
        <v>163</v>
      </c>
      <c r="F6" t="str">
        <f t="shared" si="0"/>
        <v>Before 12:00</v>
      </c>
      <c r="G6">
        <f t="shared" si="1"/>
        <v>1</v>
      </c>
    </row>
    <row r="7" spans="1:7" x14ac:dyDescent="0.3">
      <c r="A7" s="3">
        <v>46204.447419333148</v>
      </c>
      <c r="B7" t="s">
        <v>10</v>
      </c>
      <c r="C7" t="s">
        <v>164</v>
      </c>
      <c r="D7">
        <v>133</v>
      </c>
      <c r="E7" t="s">
        <v>163</v>
      </c>
      <c r="F7" t="str">
        <f t="shared" si="0"/>
        <v>Before 12:00</v>
      </c>
      <c r="G7">
        <f t="shared" si="1"/>
        <v>1</v>
      </c>
    </row>
    <row r="8" spans="1:7" x14ac:dyDescent="0.3">
      <c r="A8" s="3">
        <v>46204.449877509607</v>
      </c>
      <c r="B8" t="s">
        <v>6</v>
      </c>
      <c r="C8" t="s">
        <v>162</v>
      </c>
      <c r="D8">
        <v>9</v>
      </c>
      <c r="E8" t="s">
        <v>165</v>
      </c>
      <c r="F8" t="str">
        <f t="shared" si="0"/>
        <v>Before 12:00</v>
      </c>
      <c r="G8">
        <f t="shared" si="1"/>
        <v>0</v>
      </c>
    </row>
    <row r="9" spans="1:7" x14ac:dyDescent="0.3">
      <c r="A9" s="3">
        <v>46204.488400524329</v>
      </c>
      <c r="B9" t="s">
        <v>8</v>
      </c>
      <c r="C9" t="s">
        <v>164</v>
      </c>
      <c r="D9">
        <v>14</v>
      </c>
      <c r="E9" t="s">
        <v>166</v>
      </c>
      <c r="F9" t="str">
        <f t="shared" si="0"/>
        <v>Before 12:00</v>
      </c>
      <c r="G9">
        <f t="shared" si="1"/>
        <v>0</v>
      </c>
    </row>
    <row r="10" spans="1:7" x14ac:dyDescent="0.3">
      <c r="A10" s="3">
        <v>46205.243332906823</v>
      </c>
      <c r="B10" t="s">
        <v>8</v>
      </c>
      <c r="C10" t="s">
        <v>162</v>
      </c>
      <c r="D10">
        <v>8</v>
      </c>
      <c r="E10" t="s">
        <v>165</v>
      </c>
      <c r="F10" t="str">
        <f t="shared" si="0"/>
        <v>Before 12:00</v>
      </c>
      <c r="G10">
        <f t="shared" si="1"/>
        <v>0</v>
      </c>
    </row>
    <row r="11" spans="1:7" x14ac:dyDescent="0.3">
      <c r="A11" s="3">
        <v>46205.41729240831</v>
      </c>
      <c r="B11" t="s">
        <v>3</v>
      </c>
      <c r="C11" t="s">
        <v>164</v>
      </c>
      <c r="D11">
        <v>21</v>
      </c>
      <c r="E11" t="s">
        <v>165</v>
      </c>
      <c r="F11" t="str">
        <f t="shared" si="0"/>
        <v>Before 12:00</v>
      </c>
      <c r="G11">
        <f t="shared" si="1"/>
        <v>0</v>
      </c>
    </row>
    <row r="12" spans="1:7" x14ac:dyDescent="0.3">
      <c r="A12" s="3">
        <v>46205.419138929094</v>
      </c>
      <c r="B12" t="s">
        <v>7</v>
      </c>
      <c r="C12" t="s">
        <v>164</v>
      </c>
      <c r="D12">
        <v>4</v>
      </c>
      <c r="E12" t="s">
        <v>167</v>
      </c>
      <c r="F12" t="str">
        <f t="shared" si="0"/>
        <v>Before 12:00</v>
      </c>
      <c r="G12">
        <f t="shared" si="1"/>
        <v>0</v>
      </c>
    </row>
    <row r="13" spans="1:7" x14ac:dyDescent="0.3">
      <c r="A13" s="3">
        <v>46205.425165189154</v>
      </c>
      <c r="B13" t="s">
        <v>10</v>
      </c>
      <c r="C13" t="s">
        <v>162</v>
      </c>
      <c r="D13">
        <v>99</v>
      </c>
      <c r="E13" t="s">
        <v>163</v>
      </c>
      <c r="F13" t="str">
        <f t="shared" si="0"/>
        <v>Before 12:00</v>
      </c>
      <c r="G13">
        <f t="shared" si="1"/>
        <v>1</v>
      </c>
    </row>
    <row r="14" spans="1:7" x14ac:dyDescent="0.3">
      <c r="A14" s="3">
        <v>46205.441865659071</v>
      </c>
      <c r="B14" t="s">
        <v>10</v>
      </c>
      <c r="C14" t="s">
        <v>162</v>
      </c>
      <c r="D14">
        <v>260</v>
      </c>
      <c r="E14" t="s">
        <v>163</v>
      </c>
      <c r="F14" t="str">
        <f t="shared" si="0"/>
        <v>Before 12:00</v>
      </c>
      <c r="G14">
        <f t="shared" si="1"/>
        <v>1</v>
      </c>
    </row>
    <row r="15" spans="1:7" x14ac:dyDescent="0.3">
      <c r="A15" s="3">
        <v>46207.04737346153</v>
      </c>
      <c r="B15" t="s">
        <v>16</v>
      </c>
      <c r="C15" t="s">
        <v>162</v>
      </c>
      <c r="D15">
        <v>20</v>
      </c>
      <c r="E15" t="s">
        <v>165</v>
      </c>
      <c r="F15" t="str">
        <f t="shared" si="0"/>
        <v>Before 12:00</v>
      </c>
      <c r="G15">
        <f t="shared" si="1"/>
        <v>0</v>
      </c>
    </row>
    <row r="16" spans="1:7" x14ac:dyDescent="0.3">
      <c r="A16" s="3">
        <v>46207.16406547236</v>
      </c>
      <c r="B16" t="s">
        <v>6</v>
      </c>
      <c r="C16" t="s">
        <v>162</v>
      </c>
      <c r="D16">
        <v>9</v>
      </c>
      <c r="E16" t="s">
        <v>165</v>
      </c>
      <c r="F16" t="str">
        <f t="shared" si="0"/>
        <v>Before 12:00</v>
      </c>
      <c r="G16">
        <f t="shared" si="1"/>
        <v>0</v>
      </c>
    </row>
    <row r="17" spans="1:7" x14ac:dyDescent="0.3">
      <c r="A17" s="3">
        <v>46207.18288270403</v>
      </c>
      <c r="B17" t="s">
        <v>12</v>
      </c>
      <c r="C17" t="s">
        <v>162</v>
      </c>
      <c r="D17">
        <v>206</v>
      </c>
      <c r="E17" t="s">
        <v>163</v>
      </c>
      <c r="F17" t="str">
        <f t="shared" si="0"/>
        <v>Before 12:00</v>
      </c>
      <c r="G17">
        <f t="shared" si="1"/>
        <v>1</v>
      </c>
    </row>
    <row r="18" spans="1:7" x14ac:dyDescent="0.3">
      <c r="A18" s="3">
        <v>46207.230149653093</v>
      </c>
      <c r="B18" t="s">
        <v>10</v>
      </c>
      <c r="C18" t="s">
        <v>162</v>
      </c>
      <c r="D18">
        <v>236</v>
      </c>
      <c r="E18" t="s">
        <v>163</v>
      </c>
      <c r="F18" t="str">
        <f t="shared" si="0"/>
        <v>Before 12:00</v>
      </c>
      <c r="G18">
        <f t="shared" si="1"/>
        <v>1</v>
      </c>
    </row>
    <row r="19" spans="1:7" x14ac:dyDescent="0.3">
      <c r="A19" s="3">
        <v>46207.266335077868</v>
      </c>
      <c r="B19" t="s">
        <v>3</v>
      </c>
      <c r="C19" t="s">
        <v>162</v>
      </c>
      <c r="D19">
        <v>269</v>
      </c>
      <c r="E19" t="s">
        <v>163</v>
      </c>
      <c r="F19" t="str">
        <f t="shared" si="0"/>
        <v>Before 12:00</v>
      </c>
      <c r="G19">
        <f t="shared" si="1"/>
        <v>1</v>
      </c>
    </row>
    <row r="20" spans="1:7" x14ac:dyDescent="0.3">
      <c r="A20" s="3">
        <v>46207.429226052431</v>
      </c>
      <c r="B20" t="s">
        <v>16</v>
      </c>
      <c r="C20" t="s">
        <v>162</v>
      </c>
      <c r="D20">
        <v>2</v>
      </c>
      <c r="E20" t="s">
        <v>167</v>
      </c>
      <c r="F20" t="str">
        <f t="shared" si="0"/>
        <v>Before 12:00</v>
      </c>
      <c r="G20">
        <f t="shared" si="1"/>
        <v>0</v>
      </c>
    </row>
    <row r="21" spans="1:7" x14ac:dyDescent="0.3">
      <c r="A21" s="3">
        <v>46207.464254872219</v>
      </c>
      <c r="B21" t="s">
        <v>10</v>
      </c>
      <c r="C21" t="s">
        <v>162</v>
      </c>
      <c r="D21">
        <v>10</v>
      </c>
      <c r="E21" t="s">
        <v>166</v>
      </c>
      <c r="F21" t="str">
        <f t="shared" si="0"/>
        <v>Before 12:00</v>
      </c>
      <c r="G21">
        <f t="shared" si="1"/>
        <v>0</v>
      </c>
    </row>
    <row r="22" spans="1:7" x14ac:dyDescent="0.3">
      <c r="A22" s="3">
        <v>46207.484298146977</v>
      </c>
      <c r="B22" t="s">
        <v>11</v>
      </c>
      <c r="C22" t="s">
        <v>164</v>
      </c>
      <c r="D22">
        <v>14</v>
      </c>
      <c r="E22" t="s">
        <v>165</v>
      </c>
      <c r="F22" t="str">
        <f t="shared" si="0"/>
        <v>Before 12:00</v>
      </c>
      <c r="G22">
        <f t="shared" si="1"/>
        <v>0</v>
      </c>
    </row>
    <row r="23" spans="1:7" x14ac:dyDescent="0.3">
      <c r="A23" s="3">
        <v>46207.490340236087</v>
      </c>
      <c r="B23" t="s">
        <v>3</v>
      </c>
      <c r="C23" t="s">
        <v>164</v>
      </c>
      <c r="D23">
        <v>265</v>
      </c>
      <c r="E23" t="s">
        <v>163</v>
      </c>
      <c r="F23" t="str">
        <f t="shared" si="0"/>
        <v>Before 12:00</v>
      </c>
      <c r="G23">
        <f t="shared" si="1"/>
        <v>1</v>
      </c>
    </row>
    <row r="24" spans="1:7" x14ac:dyDescent="0.3">
      <c r="A24" s="3">
        <v>46207.4978086747</v>
      </c>
      <c r="B24" t="s">
        <v>14</v>
      </c>
      <c r="C24" t="s">
        <v>162</v>
      </c>
      <c r="D24">
        <v>235</v>
      </c>
      <c r="E24" t="s">
        <v>163</v>
      </c>
      <c r="F24" t="str">
        <f t="shared" si="0"/>
        <v>Before 12:00</v>
      </c>
      <c r="G24">
        <f t="shared" si="1"/>
        <v>1</v>
      </c>
    </row>
    <row r="25" spans="1:7" x14ac:dyDescent="0.3">
      <c r="A25" s="3">
        <v>46207.497970093602</v>
      </c>
      <c r="B25" t="s">
        <v>6</v>
      </c>
      <c r="C25" t="s">
        <v>162</v>
      </c>
      <c r="D25">
        <v>23</v>
      </c>
      <c r="E25" t="s">
        <v>165</v>
      </c>
      <c r="F25" t="str">
        <f t="shared" si="0"/>
        <v>Before 12:00</v>
      </c>
      <c r="G25">
        <f t="shared" si="1"/>
        <v>0</v>
      </c>
    </row>
    <row r="26" spans="1:7" x14ac:dyDescent="0.3">
      <c r="A26" s="3">
        <v>46209.066731716783</v>
      </c>
      <c r="B26" t="s">
        <v>16</v>
      </c>
      <c r="C26" t="s">
        <v>162</v>
      </c>
      <c r="D26">
        <v>103</v>
      </c>
      <c r="E26" t="s">
        <v>163</v>
      </c>
      <c r="F26" t="str">
        <f t="shared" si="0"/>
        <v>Before 12:00</v>
      </c>
      <c r="G26">
        <f t="shared" si="1"/>
        <v>1</v>
      </c>
    </row>
    <row r="27" spans="1:7" x14ac:dyDescent="0.3">
      <c r="A27" s="3">
        <v>46209.113133743173</v>
      </c>
      <c r="B27" t="s">
        <v>6</v>
      </c>
      <c r="C27" t="s">
        <v>164</v>
      </c>
      <c r="D27">
        <v>277</v>
      </c>
      <c r="E27" t="s">
        <v>163</v>
      </c>
      <c r="F27" t="str">
        <f t="shared" si="0"/>
        <v>Before 12:00</v>
      </c>
      <c r="G27">
        <f t="shared" si="1"/>
        <v>1</v>
      </c>
    </row>
    <row r="28" spans="1:7" x14ac:dyDescent="0.3">
      <c r="A28" s="3">
        <v>46209.4262100497</v>
      </c>
      <c r="B28" t="s">
        <v>12</v>
      </c>
      <c r="C28" t="s">
        <v>162</v>
      </c>
      <c r="D28">
        <v>11</v>
      </c>
      <c r="E28" t="s">
        <v>166</v>
      </c>
      <c r="F28" t="str">
        <f t="shared" si="0"/>
        <v>Before 12:00</v>
      </c>
      <c r="G28">
        <f t="shared" si="1"/>
        <v>0</v>
      </c>
    </row>
    <row r="29" spans="1:7" x14ac:dyDescent="0.3">
      <c r="A29" s="3">
        <v>46209.457338356391</v>
      </c>
      <c r="B29" t="s">
        <v>3</v>
      </c>
      <c r="C29" t="s">
        <v>162</v>
      </c>
      <c r="D29">
        <v>281</v>
      </c>
      <c r="E29" t="s">
        <v>163</v>
      </c>
      <c r="F29" t="str">
        <f t="shared" si="0"/>
        <v>Before 12:00</v>
      </c>
      <c r="G29">
        <f t="shared" si="1"/>
        <v>1</v>
      </c>
    </row>
    <row r="30" spans="1:7" x14ac:dyDescent="0.3">
      <c r="A30" s="3">
        <v>46210.438697875143</v>
      </c>
      <c r="B30" t="s">
        <v>13</v>
      </c>
      <c r="C30" t="s">
        <v>162</v>
      </c>
      <c r="D30">
        <v>184</v>
      </c>
      <c r="E30" t="s">
        <v>163</v>
      </c>
      <c r="F30" t="str">
        <f t="shared" si="0"/>
        <v>Before 12:00</v>
      </c>
      <c r="G30">
        <f t="shared" si="1"/>
        <v>1</v>
      </c>
    </row>
    <row r="31" spans="1:7" x14ac:dyDescent="0.3">
      <c r="A31" s="3">
        <v>46210.486801649939</v>
      </c>
      <c r="B31" t="s">
        <v>6</v>
      </c>
      <c r="C31" t="s">
        <v>162</v>
      </c>
      <c r="D31">
        <v>130</v>
      </c>
      <c r="E31" t="s">
        <v>163</v>
      </c>
      <c r="F31" t="str">
        <f t="shared" si="0"/>
        <v>Before 12:00</v>
      </c>
      <c r="G31">
        <f t="shared" si="1"/>
        <v>1</v>
      </c>
    </row>
    <row r="32" spans="1:7" x14ac:dyDescent="0.3">
      <c r="A32" s="3">
        <v>46203.569499168982</v>
      </c>
      <c r="B32" t="s">
        <v>8</v>
      </c>
      <c r="C32" t="s">
        <v>164</v>
      </c>
      <c r="D32">
        <v>11</v>
      </c>
      <c r="E32" t="s">
        <v>165</v>
      </c>
      <c r="F32" t="str">
        <f t="shared" si="0"/>
        <v>12:00-15:00</v>
      </c>
      <c r="G32">
        <f t="shared" si="1"/>
        <v>0</v>
      </c>
    </row>
    <row r="33" spans="1:7" x14ac:dyDescent="0.3">
      <c r="A33" s="3">
        <v>46203.572608461152</v>
      </c>
      <c r="B33" t="s">
        <v>3</v>
      </c>
      <c r="C33" t="s">
        <v>164</v>
      </c>
      <c r="D33">
        <v>11</v>
      </c>
      <c r="E33" t="s">
        <v>166</v>
      </c>
      <c r="F33" t="str">
        <f t="shared" si="0"/>
        <v>12:00-15:00</v>
      </c>
      <c r="G33">
        <f t="shared" si="1"/>
        <v>0</v>
      </c>
    </row>
    <row r="34" spans="1:7" x14ac:dyDescent="0.3">
      <c r="A34" s="3">
        <v>46204.509152909013</v>
      </c>
      <c r="B34" t="s">
        <v>3</v>
      </c>
      <c r="C34" t="s">
        <v>164</v>
      </c>
      <c r="D34">
        <v>211</v>
      </c>
      <c r="E34" t="s">
        <v>163</v>
      </c>
      <c r="F34" t="str">
        <f t="shared" ref="F34:F65" si="2">IF(MOD(A34,1)&lt;TIME(12,0,0),"Before 12:00",IF(MOD(A34,1)&lt;TIME(15,0,0),"12:00-15:00",IF(MOD(A34,1)&lt;TIME(18,0,0),"15:00-18:00","After 18:00")))</f>
        <v>12:00-15:00</v>
      </c>
      <c r="G34">
        <f t="shared" ref="G34:G65" si="3">--(E34="ANSWER")</f>
        <v>1</v>
      </c>
    </row>
    <row r="35" spans="1:7" x14ac:dyDescent="0.3">
      <c r="A35" s="3">
        <v>46204.510675646423</v>
      </c>
      <c r="B35" t="s">
        <v>3</v>
      </c>
      <c r="C35" t="s">
        <v>162</v>
      </c>
      <c r="D35">
        <v>152</v>
      </c>
      <c r="E35" t="s">
        <v>163</v>
      </c>
      <c r="F35" t="str">
        <f t="shared" si="2"/>
        <v>12:00-15:00</v>
      </c>
      <c r="G35">
        <f t="shared" si="3"/>
        <v>1</v>
      </c>
    </row>
    <row r="36" spans="1:7" x14ac:dyDescent="0.3">
      <c r="A36" s="3">
        <v>46204.517054513541</v>
      </c>
      <c r="B36" t="s">
        <v>8</v>
      </c>
      <c r="C36" t="s">
        <v>162</v>
      </c>
      <c r="D36">
        <v>16</v>
      </c>
      <c r="E36" t="s">
        <v>165</v>
      </c>
      <c r="F36" t="str">
        <f t="shared" si="2"/>
        <v>12:00-15:00</v>
      </c>
      <c r="G36">
        <f t="shared" si="3"/>
        <v>0</v>
      </c>
    </row>
    <row r="37" spans="1:7" x14ac:dyDescent="0.3">
      <c r="A37" s="3">
        <v>46204.563527913357</v>
      </c>
      <c r="B37" t="s">
        <v>6</v>
      </c>
      <c r="C37" t="s">
        <v>162</v>
      </c>
      <c r="D37">
        <v>161</v>
      </c>
      <c r="E37" t="s">
        <v>163</v>
      </c>
      <c r="F37" t="str">
        <f t="shared" si="2"/>
        <v>12:00-15:00</v>
      </c>
      <c r="G37">
        <f t="shared" si="3"/>
        <v>1</v>
      </c>
    </row>
    <row r="38" spans="1:7" x14ac:dyDescent="0.3">
      <c r="A38" s="3">
        <v>46204.581945225968</v>
      </c>
      <c r="B38" t="s">
        <v>3</v>
      </c>
      <c r="C38" t="s">
        <v>162</v>
      </c>
      <c r="D38">
        <v>176</v>
      </c>
      <c r="E38" t="s">
        <v>163</v>
      </c>
      <c r="F38" t="str">
        <f t="shared" si="2"/>
        <v>12:00-15:00</v>
      </c>
      <c r="G38">
        <f t="shared" si="3"/>
        <v>1</v>
      </c>
    </row>
    <row r="39" spans="1:7" x14ac:dyDescent="0.3">
      <c r="A39" s="3">
        <v>46204.598349914442</v>
      </c>
      <c r="B39" t="s">
        <v>12</v>
      </c>
      <c r="C39" t="s">
        <v>162</v>
      </c>
      <c r="D39">
        <v>277</v>
      </c>
      <c r="E39" t="s">
        <v>163</v>
      </c>
      <c r="F39" t="str">
        <f t="shared" si="2"/>
        <v>12:00-15:00</v>
      </c>
      <c r="G39">
        <f t="shared" si="3"/>
        <v>1</v>
      </c>
    </row>
    <row r="40" spans="1:7" x14ac:dyDescent="0.3">
      <c r="A40" s="3">
        <v>46204.618912002661</v>
      </c>
      <c r="B40" t="s">
        <v>3</v>
      </c>
      <c r="C40" t="s">
        <v>162</v>
      </c>
      <c r="D40">
        <v>200</v>
      </c>
      <c r="E40" t="s">
        <v>163</v>
      </c>
      <c r="F40" t="str">
        <f t="shared" si="2"/>
        <v>12:00-15:00</v>
      </c>
      <c r="G40">
        <f t="shared" si="3"/>
        <v>1</v>
      </c>
    </row>
    <row r="41" spans="1:7" x14ac:dyDescent="0.3">
      <c r="A41" s="3">
        <v>46205.510333482533</v>
      </c>
      <c r="B41" t="s">
        <v>11</v>
      </c>
      <c r="C41" t="s">
        <v>162</v>
      </c>
      <c r="D41">
        <v>128</v>
      </c>
      <c r="E41" t="s">
        <v>163</v>
      </c>
      <c r="F41" t="str">
        <f t="shared" si="2"/>
        <v>12:00-15:00</v>
      </c>
      <c r="G41">
        <f t="shared" si="3"/>
        <v>1</v>
      </c>
    </row>
    <row r="42" spans="1:7" x14ac:dyDescent="0.3">
      <c r="A42" s="3">
        <v>46205.523477192699</v>
      </c>
      <c r="B42" t="s">
        <v>14</v>
      </c>
      <c r="C42" t="s">
        <v>162</v>
      </c>
      <c r="D42">
        <v>230</v>
      </c>
      <c r="E42" t="s">
        <v>163</v>
      </c>
      <c r="F42" t="str">
        <f t="shared" si="2"/>
        <v>12:00-15:00</v>
      </c>
      <c r="G42">
        <f t="shared" si="3"/>
        <v>1</v>
      </c>
    </row>
    <row r="43" spans="1:7" x14ac:dyDescent="0.3">
      <c r="A43" s="3">
        <v>46205.549598369071</v>
      </c>
      <c r="B43" t="s">
        <v>13</v>
      </c>
      <c r="C43" t="s">
        <v>162</v>
      </c>
      <c r="D43">
        <v>283</v>
      </c>
      <c r="E43" t="s">
        <v>163</v>
      </c>
      <c r="F43" t="str">
        <f t="shared" si="2"/>
        <v>12:00-15:00</v>
      </c>
      <c r="G43">
        <f t="shared" si="3"/>
        <v>1</v>
      </c>
    </row>
    <row r="44" spans="1:7" x14ac:dyDescent="0.3">
      <c r="A44" s="3">
        <v>46205.559052447199</v>
      </c>
      <c r="B44" t="s">
        <v>14</v>
      </c>
      <c r="C44" t="s">
        <v>162</v>
      </c>
      <c r="D44">
        <v>147</v>
      </c>
      <c r="E44" t="s">
        <v>163</v>
      </c>
      <c r="F44" t="str">
        <f t="shared" si="2"/>
        <v>12:00-15:00</v>
      </c>
      <c r="G44">
        <f t="shared" si="3"/>
        <v>1</v>
      </c>
    </row>
    <row r="45" spans="1:7" x14ac:dyDescent="0.3">
      <c r="A45" s="3">
        <v>46205.611183415393</v>
      </c>
      <c r="B45" t="s">
        <v>6</v>
      </c>
      <c r="C45" t="s">
        <v>162</v>
      </c>
      <c r="D45">
        <v>178</v>
      </c>
      <c r="E45" t="s">
        <v>163</v>
      </c>
      <c r="F45" t="str">
        <f t="shared" si="2"/>
        <v>12:00-15:00</v>
      </c>
      <c r="G45">
        <f t="shared" si="3"/>
        <v>1</v>
      </c>
    </row>
    <row r="46" spans="1:7" x14ac:dyDescent="0.3">
      <c r="A46" s="3">
        <v>46206.55648582994</v>
      </c>
      <c r="B46" t="s">
        <v>8</v>
      </c>
      <c r="C46" t="s">
        <v>164</v>
      </c>
      <c r="D46">
        <v>191</v>
      </c>
      <c r="E46" t="s">
        <v>163</v>
      </c>
      <c r="F46" t="str">
        <f t="shared" si="2"/>
        <v>12:00-15:00</v>
      </c>
      <c r="G46">
        <f t="shared" si="3"/>
        <v>1</v>
      </c>
    </row>
    <row r="47" spans="1:7" x14ac:dyDescent="0.3">
      <c r="A47" s="3">
        <v>46206.579522482592</v>
      </c>
      <c r="B47" t="s">
        <v>3</v>
      </c>
      <c r="C47" t="s">
        <v>162</v>
      </c>
      <c r="D47">
        <v>20</v>
      </c>
      <c r="E47" t="s">
        <v>165</v>
      </c>
      <c r="F47" t="str">
        <f t="shared" si="2"/>
        <v>12:00-15:00</v>
      </c>
      <c r="G47">
        <f t="shared" si="3"/>
        <v>0</v>
      </c>
    </row>
    <row r="48" spans="1:7" x14ac:dyDescent="0.3">
      <c r="A48" s="3">
        <v>46206.601785144812</v>
      </c>
      <c r="B48" t="s">
        <v>3</v>
      </c>
      <c r="C48" t="s">
        <v>162</v>
      </c>
      <c r="D48">
        <v>145</v>
      </c>
      <c r="E48" t="s">
        <v>163</v>
      </c>
      <c r="F48" t="str">
        <f t="shared" si="2"/>
        <v>12:00-15:00</v>
      </c>
      <c r="G48">
        <f t="shared" si="3"/>
        <v>1</v>
      </c>
    </row>
    <row r="49" spans="1:7" x14ac:dyDescent="0.3">
      <c r="A49" s="3">
        <v>46206.6127941128</v>
      </c>
      <c r="B49" t="s">
        <v>14</v>
      </c>
      <c r="C49" t="s">
        <v>162</v>
      </c>
      <c r="D49">
        <v>134</v>
      </c>
      <c r="E49" t="s">
        <v>163</v>
      </c>
      <c r="F49" t="str">
        <f t="shared" si="2"/>
        <v>12:00-15:00</v>
      </c>
      <c r="G49">
        <f t="shared" si="3"/>
        <v>1</v>
      </c>
    </row>
    <row r="50" spans="1:7" x14ac:dyDescent="0.3">
      <c r="A50" s="3">
        <v>46207.511627870677</v>
      </c>
      <c r="B50" t="s">
        <v>6</v>
      </c>
      <c r="C50" t="s">
        <v>162</v>
      </c>
      <c r="D50">
        <v>291</v>
      </c>
      <c r="E50" t="s">
        <v>163</v>
      </c>
      <c r="F50" t="str">
        <f t="shared" si="2"/>
        <v>12:00-15:00</v>
      </c>
      <c r="G50">
        <f t="shared" si="3"/>
        <v>1</v>
      </c>
    </row>
    <row r="51" spans="1:7" x14ac:dyDescent="0.3">
      <c r="A51" s="3">
        <v>46207.527477853429</v>
      </c>
      <c r="B51" t="s">
        <v>14</v>
      </c>
      <c r="C51" t="s">
        <v>162</v>
      </c>
      <c r="D51">
        <v>143</v>
      </c>
      <c r="E51" t="s">
        <v>163</v>
      </c>
      <c r="F51" t="str">
        <f t="shared" si="2"/>
        <v>12:00-15:00</v>
      </c>
      <c r="G51">
        <f t="shared" si="3"/>
        <v>1</v>
      </c>
    </row>
    <row r="52" spans="1:7" x14ac:dyDescent="0.3">
      <c r="A52" s="3">
        <v>46207.54222058654</v>
      </c>
      <c r="B52" t="s">
        <v>16</v>
      </c>
      <c r="C52" t="s">
        <v>162</v>
      </c>
      <c r="D52">
        <v>225</v>
      </c>
      <c r="E52" t="s">
        <v>163</v>
      </c>
      <c r="F52" t="str">
        <f t="shared" si="2"/>
        <v>12:00-15:00</v>
      </c>
      <c r="G52">
        <f t="shared" si="3"/>
        <v>1</v>
      </c>
    </row>
    <row r="53" spans="1:7" x14ac:dyDescent="0.3">
      <c r="A53" s="3">
        <v>46207.566914726682</v>
      </c>
      <c r="B53" t="s">
        <v>14</v>
      </c>
      <c r="C53" t="s">
        <v>162</v>
      </c>
      <c r="D53">
        <v>10</v>
      </c>
      <c r="E53" t="s">
        <v>165</v>
      </c>
      <c r="F53" t="str">
        <f t="shared" si="2"/>
        <v>12:00-15:00</v>
      </c>
      <c r="G53">
        <f t="shared" si="3"/>
        <v>0</v>
      </c>
    </row>
    <row r="54" spans="1:7" x14ac:dyDescent="0.3">
      <c r="A54" s="3">
        <v>46207.600259829909</v>
      </c>
      <c r="B54" t="s">
        <v>14</v>
      </c>
      <c r="C54" t="s">
        <v>162</v>
      </c>
      <c r="D54">
        <v>104</v>
      </c>
      <c r="E54" t="s">
        <v>163</v>
      </c>
      <c r="F54" t="str">
        <f t="shared" si="2"/>
        <v>12:00-15:00</v>
      </c>
      <c r="G54">
        <f t="shared" si="3"/>
        <v>1</v>
      </c>
    </row>
    <row r="55" spans="1:7" x14ac:dyDescent="0.3">
      <c r="A55" s="3">
        <v>46207.618877081099</v>
      </c>
      <c r="B55" t="s">
        <v>14</v>
      </c>
      <c r="C55" t="s">
        <v>162</v>
      </c>
      <c r="D55">
        <v>247</v>
      </c>
      <c r="E55" t="s">
        <v>163</v>
      </c>
      <c r="F55" t="str">
        <f t="shared" si="2"/>
        <v>12:00-15:00</v>
      </c>
      <c r="G55">
        <f t="shared" si="3"/>
        <v>1</v>
      </c>
    </row>
    <row r="56" spans="1:7" x14ac:dyDescent="0.3">
      <c r="A56" s="3">
        <v>46209.514251180757</v>
      </c>
      <c r="B56" t="s">
        <v>6</v>
      </c>
      <c r="C56" t="s">
        <v>162</v>
      </c>
      <c r="D56">
        <v>214</v>
      </c>
      <c r="E56" t="s">
        <v>163</v>
      </c>
      <c r="F56" t="str">
        <f t="shared" si="2"/>
        <v>12:00-15:00</v>
      </c>
      <c r="G56">
        <f t="shared" si="3"/>
        <v>1</v>
      </c>
    </row>
    <row r="57" spans="1:7" x14ac:dyDescent="0.3">
      <c r="A57" s="3">
        <v>46209.517727290789</v>
      </c>
      <c r="B57" t="s">
        <v>16</v>
      </c>
      <c r="C57" t="s">
        <v>162</v>
      </c>
      <c r="D57">
        <v>298</v>
      </c>
      <c r="E57" t="s">
        <v>163</v>
      </c>
      <c r="F57" t="str">
        <f t="shared" si="2"/>
        <v>12:00-15:00</v>
      </c>
      <c r="G57">
        <f t="shared" si="3"/>
        <v>1</v>
      </c>
    </row>
    <row r="58" spans="1:7" x14ac:dyDescent="0.3">
      <c r="A58" s="3">
        <v>46209.519397771073</v>
      </c>
      <c r="B58" t="s">
        <v>14</v>
      </c>
      <c r="C58" t="s">
        <v>162</v>
      </c>
      <c r="D58">
        <v>274</v>
      </c>
      <c r="E58" t="s">
        <v>163</v>
      </c>
      <c r="F58" t="str">
        <f t="shared" si="2"/>
        <v>12:00-15:00</v>
      </c>
      <c r="G58">
        <f t="shared" si="3"/>
        <v>1</v>
      </c>
    </row>
    <row r="59" spans="1:7" x14ac:dyDescent="0.3">
      <c r="A59" s="3">
        <v>46209.545790368087</v>
      </c>
      <c r="B59" t="s">
        <v>3</v>
      </c>
      <c r="C59" t="s">
        <v>162</v>
      </c>
      <c r="D59">
        <v>179</v>
      </c>
      <c r="E59" t="s">
        <v>163</v>
      </c>
      <c r="F59" t="str">
        <f t="shared" si="2"/>
        <v>12:00-15:00</v>
      </c>
      <c r="G59">
        <f t="shared" si="3"/>
        <v>1</v>
      </c>
    </row>
    <row r="60" spans="1:7" x14ac:dyDescent="0.3">
      <c r="A60" s="3">
        <v>46209.551543438007</v>
      </c>
      <c r="B60" t="s">
        <v>14</v>
      </c>
      <c r="C60" t="s">
        <v>162</v>
      </c>
      <c r="D60">
        <v>203</v>
      </c>
      <c r="E60" t="s">
        <v>163</v>
      </c>
      <c r="F60" t="str">
        <f t="shared" si="2"/>
        <v>12:00-15:00</v>
      </c>
      <c r="G60">
        <f t="shared" si="3"/>
        <v>1</v>
      </c>
    </row>
    <row r="61" spans="1:7" x14ac:dyDescent="0.3">
      <c r="A61" s="3">
        <v>46210.575710719073</v>
      </c>
      <c r="B61" t="s">
        <v>3</v>
      </c>
      <c r="C61" t="s">
        <v>162</v>
      </c>
      <c r="D61">
        <v>103</v>
      </c>
      <c r="E61" t="s">
        <v>163</v>
      </c>
      <c r="F61" t="str">
        <f t="shared" si="2"/>
        <v>12:00-15:00</v>
      </c>
      <c r="G61">
        <f t="shared" si="3"/>
        <v>1</v>
      </c>
    </row>
    <row r="62" spans="1:7" x14ac:dyDescent="0.3">
      <c r="A62" s="3">
        <v>46210.586147746377</v>
      </c>
      <c r="B62" t="s">
        <v>15</v>
      </c>
      <c r="C62" t="s">
        <v>162</v>
      </c>
      <c r="D62">
        <v>170</v>
      </c>
      <c r="E62" t="s">
        <v>163</v>
      </c>
      <c r="F62" t="str">
        <f t="shared" si="2"/>
        <v>12:00-15:00</v>
      </c>
      <c r="G62">
        <f t="shared" si="3"/>
        <v>1</v>
      </c>
    </row>
    <row r="63" spans="1:7" x14ac:dyDescent="0.3">
      <c r="A63" s="3">
        <v>46210.610301121502</v>
      </c>
      <c r="B63" t="s">
        <v>14</v>
      </c>
      <c r="C63" t="s">
        <v>162</v>
      </c>
      <c r="D63">
        <v>135</v>
      </c>
      <c r="E63" t="s">
        <v>163</v>
      </c>
      <c r="F63" t="str">
        <f t="shared" si="2"/>
        <v>12:00-15:00</v>
      </c>
      <c r="G63">
        <f t="shared" si="3"/>
        <v>1</v>
      </c>
    </row>
    <row r="64" spans="1:7" x14ac:dyDescent="0.3">
      <c r="A64" s="3">
        <v>46204.63830263359</v>
      </c>
      <c r="B64" t="s">
        <v>3</v>
      </c>
      <c r="C64" t="s">
        <v>162</v>
      </c>
      <c r="D64">
        <v>12</v>
      </c>
      <c r="E64" t="s">
        <v>165</v>
      </c>
      <c r="F64" t="str">
        <f t="shared" si="2"/>
        <v>15:00-18:00</v>
      </c>
      <c r="G64">
        <f t="shared" si="3"/>
        <v>0</v>
      </c>
    </row>
    <row r="65" spans="1:7" x14ac:dyDescent="0.3">
      <c r="A65" s="3">
        <v>46204.669978617851</v>
      </c>
      <c r="B65" t="s">
        <v>16</v>
      </c>
      <c r="C65" t="s">
        <v>162</v>
      </c>
      <c r="D65">
        <v>255</v>
      </c>
      <c r="E65" t="s">
        <v>163</v>
      </c>
      <c r="F65" t="str">
        <f t="shared" si="2"/>
        <v>15:00-18:00</v>
      </c>
      <c r="G65">
        <f t="shared" si="3"/>
        <v>1</v>
      </c>
    </row>
    <row r="66" spans="1:7" x14ac:dyDescent="0.3">
      <c r="A66" s="3">
        <v>46204.671887597477</v>
      </c>
      <c r="B66" t="s">
        <v>12</v>
      </c>
      <c r="C66" t="s">
        <v>162</v>
      </c>
      <c r="D66">
        <v>15</v>
      </c>
      <c r="E66" t="s">
        <v>166</v>
      </c>
      <c r="F66" t="str">
        <f t="shared" ref="F66:F101" si="4">IF(MOD(A66,1)&lt;TIME(12,0,0),"Before 12:00",IF(MOD(A66,1)&lt;TIME(15,0,0),"12:00-15:00",IF(MOD(A66,1)&lt;TIME(18,0,0),"15:00-18:00","After 18:00")))</f>
        <v>15:00-18:00</v>
      </c>
      <c r="G66">
        <f t="shared" ref="G66:G101" si="5">--(E66="ANSWER")</f>
        <v>0</v>
      </c>
    </row>
    <row r="67" spans="1:7" x14ac:dyDescent="0.3">
      <c r="A67" s="3">
        <v>46205.705461826692</v>
      </c>
      <c r="B67" t="s">
        <v>3</v>
      </c>
      <c r="C67" t="s">
        <v>162</v>
      </c>
      <c r="D67">
        <v>12</v>
      </c>
      <c r="E67" t="s">
        <v>166</v>
      </c>
      <c r="F67" t="str">
        <f t="shared" si="4"/>
        <v>15:00-18:00</v>
      </c>
      <c r="G67">
        <f t="shared" si="5"/>
        <v>0</v>
      </c>
    </row>
    <row r="68" spans="1:7" x14ac:dyDescent="0.3">
      <c r="A68" s="3">
        <v>46205.705945486297</v>
      </c>
      <c r="B68" t="s">
        <v>14</v>
      </c>
      <c r="C68" t="s">
        <v>162</v>
      </c>
      <c r="D68">
        <v>113</v>
      </c>
      <c r="E68" t="s">
        <v>163</v>
      </c>
      <c r="F68" t="str">
        <f t="shared" si="4"/>
        <v>15:00-18:00</v>
      </c>
      <c r="G68">
        <f t="shared" si="5"/>
        <v>1</v>
      </c>
    </row>
    <row r="69" spans="1:7" x14ac:dyDescent="0.3">
      <c r="A69" s="3">
        <v>46205.717572197209</v>
      </c>
      <c r="B69" t="s">
        <v>3</v>
      </c>
      <c r="C69" t="s">
        <v>162</v>
      </c>
      <c r="D69">
        <v>7</v>
      </c>
      <c r="E69" t="s">
        <v>166</v>
      </c>
      <c r="F69" t="str">
        <f t="shared" si="4"/>
        <v>15:00-18:00</v>
      </c>
      <c r="G69">
        <f t="shared" si="5"/>
        <v>0</v>
      </c>
    </row>
    <row r="70" spans="1:7" x14ac:dyDescent="0.3">
      <c r="A70" s="3">
        <v>46205.718233142143</v>
      </c>
      <c r="B70" t="s">
        <v>3</v>
      </c>
      <c r="C70" t="s">
        <v>162</v>
      </c>
      <c r="D70">
        <v>231</v>
      </c>
      <c r="E70" t="s">
        <v>163</v>
      </c>
      <c r="F70" t="str">
        <f t="shared" si="4"/>
        <v>15:00-18:00</v>
      </c>
      <c r="G70">
        <f t="shared" si="5"/>
        <v>1</v>
      </c>
    </row>
    <row r="71" spans="1:7" x14ac:dyDescent="0.3">
      <c r="A71" s="3">
        <v>46205.720774844427</v>
      </c>
      <c r="B71" t="s">
        <v>3</v>
      </c>
      <c r="C71" t="s">
        <v>162</v>
      </c>
      <c r="D71">
        <v>22</v>
      </c>
      <c r="E71" t="s">
        <v>165</v>
      </c>
      <c r="F71" t="str">
        <f t="shared" si="4"/>
        <v>15:00-18:00</v>
      </c>
      <c r="G71">
        <f t="shared" si="5"/>
        <v>0</v>
      </c>
    </row>
    <row r="72" spans="1:7" x14ac:dyDescent="0.3">
      <c r="A72" s="3">
        <v>46205.738950488943</v>
      </c>
      <c r="B72" t="s">
        <v>8</v>
      </c>
      <c r="C72" t="s">
        <v>162</v>
      </c>
      <c r="D72">
        <v>22</v>
      </c>
      <c r="E72" t="s">
        <v>165</v>
      </c>
      <c r="F72" t="str">
        <f t="shared" si="4"/>
        <v>15:00-18:00</v>
      </c>
      <c r="G72">
        <f t="shared" si="5"/>
        <v>0</v>
      </c>
    </row>
    <row r="73" spans="1:7" x14ac:dyDescent="0.3">
      <c r="A73" s="3">
        <v>46206.65287942053</v>
      </c>
      <c r="B73" t="s">
        <v>3</v>
      </c>
      <c r="C73" t="s">
        <v>162</v>
      </c>
      <c r="D73">
        <v>19</v>
      </c>
      <c r="E73" t="s">
        <v>165</v>
      </c>
      <c r="F73" t="str">
        <f t="shared" si="4"/>
        <v>15:00-18:00</v>
      </c>
      <c r="G73">
        <f t="shared" si="5"/>
        <v>0</v>
      </c>
    </row>
    <row r="74" spans="1:7" x14ac:dyDescent="0.3">
      <c r="A74" s="3">
        <v>46206.680646247558</v>
      </c>
      <c r="B74" t="s">
        <v>13</v>
      </c>
      <c r="C74" t="s">
        <v>162</v>
      </c>
      <c r="D74">
        <v>90</v>
      </c>
      <c r="E74" t="s">
        <v>163</v>
      </c>
      <c r="F74" t="str">
        <f t="shared" si="4"/>
        <v>15:00-18:00</v>
      </c>
      <c r="G74">
        <f t="shared" si="5"/>
        <v>1</v>
      </c>
    </row>
    <row r="75" spans="1:7" x14ac:dyDescent="0.3">
      <c r="A75" s="3">
        <v>46206.689135965113</v>
      </c>
      <c r="B75" t="s">
        <v>10</v>
      </c>
      <c r="C75" t="s">
        <v>162</v>
      </c>
      <c r="D75">
        <v>9</v>
      </c>
      <c r="E75" t="s">
        <v>166</v>
      </c>
      <c r="F75" t="str">
        <f t="shared" si="4"/>
        <v>15:00-18:00</v>
      </c>
      <c r="G75">
        <f t="shared" si="5"/>
        <v>0</v>
      </c>
    </row>
    <row r="76" spans="1:7" x14ac:dyDescent="0.3">
      <c r="A76" s="3">
        <v>46206.748711258013</v>
      </c>
      <c r="B76" t="s">
        <v>10</v>
      </c>
      <c r="C76" t="s">
        <v>162</v>
      </c>
      <c r="D76">
        <v>0</v>
      </c>
      <c r="E76" t="s">
        <v>168</v>
      </c>
      <c r="F76" t="str">
        <f t="shared" si="4"/>
        <v>15:00-18:00</v>
      </c>
      <c r="G76">
        <f t="shared" si="5"/>
        <v>0</v>
      </c>
    </row>
    <row r="77" spans="1:7" x14ac:dyDescent="0.3">
      <c r="A77" s="3">
        <v>46207.722119482591</v>
      </c>
      <c r="B77" t="s">
        <v>6</v>
      </c>
      <c r="C77" t="s">
        <v>162</v>
      </c>
      <c r="D77">
        <v>96</v>
      </c>
      <c r="E77" t="s">
        <v>163</v>
      </c>
      <c r="F77" t="str">
        <f t="shared" si="4"/>
        <v>15:00-18:00</v>
      </c>
      <c r="G77">
        <f t="shared" si="5"/>
        <v>1</v>
      </c>
    </row>
    <row r="78" spans="1:7" x14ac:dyDescent="0.3">
      <c r="A78" s="3">
        <v>46207.741009391772</v>
      </c>
      <c r="B78" t="s">
        <v>12</v>
      </c>
      <c r="C78" t="s">
        <v>162</v>
      </c>
      <c r="D78">
        <v>109</v>
      </c>
      <c r="E78" t="s">
        <v>163</v>
      </c>
      <c r="F78" t="str">
        <f t="shared" si="4"/>
        <v>15:00-18:00</v>
      </c>
      <c r="G78">
        <f t="shared" si="5"/>
        <v>1</v>
      </c>
    </row>
    <row r="79" spans="1:7" x14ac:dyDescent="0.3">
      <c r="A79" s="3">
        <v>46207.748925993314</v>
      </c>
      <c r="B79" t="s">
        <v>16</v>
      </c>
      <c r="C79" t="s">
        <v>162</v>
      </c>
      <c r="D79">
        <v>173</v>
      </c>
      <c r="E79" t="s">
        <v>163</v>
      </c>
      <c r="F79" t="str">
        <f t="shared" si="4"/>
        <v>15:00-18:00</v>
      </c>
      <c r="G79">
        <f t="shared" si="5"/>
        <v>1</v>
      </c>
    </row>
    <row r="80" spans="1:7" x14ac:dyDescent="0.3">
      <c r="A80" s="3">
        <v>46209.636340407269</v>
      </c>
      <c r="B80" t="s">
        <v>10</v>
      </c>
      <c r="C80" t="s">
        <v>162</v>
      </c>
      <c r="D80">
        <v>103</v>
      </c>
      <c r="E80" t="s">
        <v>163</v>
      </c>
      <c r="F80" t="str">
        <f t="shared" si="4"/>
        <v>15:00-18:00</v>
      </c>
      <c r="G80">
        <f t="shared" si="5"/>
        <v>1</v>
      </c>
    </row>
    <row r="81" spans="1:7" x14ac:dyDescent="0.3">
      <c r="A81" s="3">
        <v>46209.673762471873</v>
      </c>
      <c r="B81" t="s">
        <v>12</v>
      </c>
      <c r="C81" t="s">
        <v>162</v>
      </c>
      <c r="D81">
        <v>138</v>
      </c>
      <c r="E81" t="s">
        <v>163</v>
      </c>
      <c r="F81" t="str">
        <f t="shared" si="4"/>
        <v>15:00-18:00</v>
      </c>
      <c r="G81">
        <f t="shared" si="5"/>
        <v>1</v>
      </c>
    </row>
    <row r="82" spans="1:7" x14ac:dyDescent="0.3">
      <c r="A82" s="3">
        <v>46209.747179929152</v>
      </c>
      <c r="B82" t="s">
        <v>3</v>
      </c>
      <c r="C82" t="s">
        <v>164</v>
      </c>
      <c r="D82">
        <v>12</v>
      </c>
      <c r="E82" t="s">
        <v>166</v>
      </c>
      <c r="F82" t="str">
        <f t="shared" si="4"/>
        <v>15:00-18:00</v>
      </c>
      <c r="G82">
        <f t="shared" si="5"/>
        <v>0</v>
      </c>
    </row>
    <row r="83" spans="1:7" x14ac:dyDescent="0.3">
      <c r="A83" s="3">
        <v>46210.704679743867</v>
      </c>
      <c r="B83" t="s">
        <v>12</v>
      </c>
      <c r="C83" t="s">
        <v>164</v>
      </c>
      <c r="D83">
        <v>107</v>
      </c>
      <c r="E83" t="s">
        <v>163</v>
      </c>
      <c r="F83" t="str">
        <f t="shared" si="4"/>
        <v>15:00-18:00</v>
      </c>
      <c r="G83">
        <f t="shared" si="5"/>
        <v>1</v>
      </c>
    </row>
    <row r="84" spans="1:7" x14ac:dyDescent="0.3">
      <c r="A84" s="3">
        <v>46210.711326216217</v>
      </c>
      <c r="B84" t="s">
        <v>16</v>
      </c>
      <c r="C84" t="s">
        <v>162</v>
      </c>
      <c r="D84">
        <v>98</v>
      </c>
      <c r="E84" t="s">
        <v>163</v>
      </c>
      <c r="F84" t="str">
        <f t="shared" si="4"/>
        <v>15:00-18:00</v>
      </c>
      <c r="G84">
        <f t="shared" si="5"/>
        <v>1</v>
      </c>
    </row>
    <row r="85" spans="1:7" x14ac:dyDescent="0.3">
      <c r="A85" s="3">
        <v>46203.750130610999</v>
      </c>
      <c r="B85" t="s">
        <v>8</v>
      </c>
      <c r="C85" t="s">
        <v>162</v>
      </c>
      <c r="D85">
        <v>122</v>
      </c>
      <c r="E85" t="s">
        <v>163</v>
      </c>
      <c r="F85" t="str">
        <f t="shared" si="4"/>
        <v>After 18:00</v>
      </c>
      <c r="G85">
        <f t="shared" si="5"/>
        <v>1</v>
      </c>
    </row>
    <row r="86" spans="1:7" x14ac:dyDescent="0.3">
      <c r="A86" s="3">
        <v>46204.772755913029</v>
      </c>
      <c r="B86" t="s">
        <v>13</v>
      </c>
      <c r="C86" t="s">
        <v>162</v>
      </c>
      <c r="D86">
        <v>254</v>
      </c>
      <c r="E86" t="s">
        <v>163</v>
      </c>
      <c r="F86" t="str">
        <f t="shared" si="4"/>
        <v>After 18:00</v>
      </c>
      <c r="G86">
        <f t="shared" si="5"/>
        <v>1</v>
      </c>
    </row>
    <row r="87" spans="1:7" x14ac:dyDescent="0.3">
      <c r="A87" s="3">
        <v>46204.781060664813</v>
      </c>
      <c r="B87" t="s">
        <v>15</v>
      </c>
      <c r="C87" t="s">
        <v>162</v>
      </c>
      <c r="D87">
        <v>21</v>
      </c>
      <c r="E87" t="s">
        <v>165</v>
      </c>
      <c r="F87" t="str">
        <f t="shared" si="4"/>
        <v>After 18:00</v>
      </c>
      <c r="G87">
        <f t="shared" si="5"/>
        <v>0</v>
      </c>
    </row>
    <row r="88" spans="1:7" x14ac:dyDescent="0.3">
      <c r="A88" s="3">
        <v>46204.80514795582</v>
      </c>
      <c r="B88" t="s">
        <v>3</v>
      </c>
      <c r="C88" t="s">
        <v>162</v>
      </c>
      <c r="D88">
        <v>7</v>
      </c>
      <c r="E88" t="s">
        <v>168</v>
      </c>
      <c r="F88" t="str">
        <f t="shared" si="4"/>
        <v>After 18:00</v>
      </c>
      <c r="G88">
        <f t="shared" si="5"/>
        <v>0</v>
      </c>
    </row>
    <row r="89" spans="1:7" x14ac:dyDescent="0.3">
      <c r="A89" s="3">
        <v>46205.815622459188</v>
      </c>
      <c r="B89" t="s">
        <v>3</v>
      </c>
      <c r="C89" t="s">
        <v>162</v>
      </c>
      <c r="D89">
        <v>93</v>
      </c>
      <c r="E89" t="s">
        <v>163</v>
      </c>
      <c r="F89" t="str">
        <f t="shared" si="4"/>
        <v>After 18:00</v>
      </c>
      <c r="G89">
        <f t="shared" si="5"/>
        <v>1</v>
      </c>
    </row>
    <row r="90" spans="1:7" x14ac:dyDescent="0.3">
      <c r="A90" s="3">
        <v>46205.819055161381</v>
      </c>
      <c r="B90" t="s">
        <v>10</v>
      </c>
      <c r="C90" t="s">
        <v>164</v>
      </c>
      <c r="D90">
        <v>160</v>
      </c>
      <c r="E90" t="s">
        <v>163</v>
      </c>
      <c r="F90" t="str">
        <f t="shared" si="4"/>
        <v>After 18:00</v>
      </c>
      <c r="G90">
        <f t="shared" si="5"/>
        <v>1</v>
      </c>
    </row>
    <row r="91" spans="1:7" x14ac:dyDescent="0.3">
      <c r="A91" s="3">
        <v>46206.754131097601</v>
      </c>
      <c r="B91" t="s">
        <v>11</v>
      </c>
      <c r="C91" t="s">
        <v>162</v>
      </c>
      <c r="D91">
        <v>220</v>
      </c>
      <c r="E91" t="s">
        <v>163</v>
      </c>
      <c r="F91" t="str">
        <f t="shared" si="4"/>
        <v>After 18:00</v>
      </c>
      <c r="G91">
        <f t="shared" si="5"/>
        <v>1</v>
      </c>
    </row>
    <row r="92" spans="1:7" x14ac:dyDescent="0.3">
      <c r="A92" s="3">
        <v>46206.870602058159</v>
      </c>
      <c r="B92" t="s">
        <v>8</v>
      </c>
      <c r="C92" t="s">
        <v>162</v>
      </c>
      <c r="D92">
        <v>9</v>
      </c>
      <c r="E92" t="s">
        <v>165</v>
      </c>
      <c r="F92" t="str">
        <f t="shared" si="4"/>
        <v>After 18:00</v>
      </c>
      <c r="G92">
        <f t="shared" si="5"/>
        <v>0</v>
      </c>
    </row>
    <row r="93" spans="1:7" x14ac:dyDescent="0.3">
      <c r="A93" s="3">
        <v>46207.795829583301</v>
      </c>
      <c r="B93" t="s">
        <v>14</v>
      </c>
      <c r="C93" t="s">
        <v>162</v>
      </c>
      <c r="D93">
        <v>160</v>
      </c>
      <c r="E93" t="s">
        <v>163</v>
      </c>
      <c r="F93" t="str">
        <f t="shared" si="4"/>
        <v>After 18:00</v>
      </c>
      <c r="G93">
        <f t="shared" si="5"/>
        <v>1</v>
      </c>
    </row>
    <row r="94" spans="1:7" x14ac:dyDescent="0.3">
      <c r="A94" s="3">
        <v>46207.799270802127</v>
      </c>
      <c r="B94" t="s">
        <v>16</v>
      </c>
      <c r="C94" t="s">
        <v>162</v>
      </c>
      <c r="D94">
        <v>224</v>
      </c>
      <c r="E94" t="s">
        <v>163</v>
      </c>
      <c r="F94" t="str">
        <f t="shared" si="4"/>
        <v>After 18:00</v>
      </c>
      <c r="G94">
        <f t="shared" si="5"/>
        <v>1</v>
      </c>
    </row>
    <row r="95" spans="1:7" x14ac:dyDescent="0.3">
      <c r="A95" s="3">
        <v>46207.822243159848</v>
      </c>
      <c r="B95" t="s">
        <v>14</v>
      </c>
      <c r="C95" t="s">
        <v>162</v>
      </c>
      <c r="D95">
        <v>19</v>
      </c>
      <c r="E95" t="s">
        <v>165</v>
      </c>
      <c r="F95" t="str">
        <f t="shared" si="4"/>
        <v>After 18:00</v>
      </c>
      <c r="G95">
        <f t="shared" si="5"/>
        <v>0</v>
      </c>
    </row>
    <row r="96" spans="1:7" x14ac:dyDescent="0.3">
      <c r="A96" s="3">
        <v>46207.827186531307</v>
      </c>
      <c r="B96" t="s">
        <v>11</v>
      </c>
      <c r="C96" t="s">
        <v>162</v>
      </c>
      <c r="D96">
        <v>24</v>
      </c>
      <c r="E96" t="s">
        <v>165</v>
      </c>
      <c r="F96" t="str">
        <f t="shared" si="4"/>
        <v>After 18:00</v>
      </c>
      <c r="G96">
        <f t="shared" si="5"/>
        <v>0</v>
      </c>
    </row>
    <row r="97" spans="1:7" x14ac:dyDescent="0.3">
      <c r="A97" s="3">
        <v>46207.935471906341</v>
      </c>
      <c r="B97" t="s">
        <v>11</v>
      </c>
      <c r="C97" t="s">
        <v>162</v>
      </c>
      <c r="D97">
        <v>16</v>
      </c>
      <c r="E97" t="s">
        <v>165</v>
      </c>
      <c r="F97" t="str">
        <f t="shared" si="4"/>
        <v>After 18:00</v>
      </c>
      <c r="G97">
        <f t="shared" si="5"/>
        <v>0</v>
      </c>
    </row>
    <row r="98" spans="1:7" x14ac:dyDescent="0.3">
      <c r="A98" s="3">
        <v>46209.807729613953</v>
      </c>
      <c r="B98" t="s">
        <v>14</v>
      </c>
      <c r="C98" t="s">
        <v>162</v>
      </c>
      <c r="D98">
        <v>0</v>
      </c>
      <c r="E98" t="s">
        <v>168</v>
      </c>
      <c r="F98" t="str">
        <f t="shared" si="4"/>
        <v>After 18:00</v>
      </c>
      <c r="G98">
        <f t="shared" si="5"/>
        <v>0</v>
      </c>
    </row>
    <row r="99" spans="1:7" x14ac:dyDescent="0.3">
      <c r="A99" s="3">
        <v>46209.883941831577</v>
      </c>
      <c r="B99" t="s">
        <v>16</v>
      </c>
      <c r="C99" t="s">
        <v>162</v>
      </c>
      <c r="D99">
        <v>16</v>
      </c>
      <c r="E99" t="s">
        <v>165</v>
      </c>
      <c r="F99" t="str">
        <f t="shared" si="4"/>
        <v>After 18:00</v>
      </c>
      <c r="G99">
        <f t="shared" si="5"/>
        <v>0</v>
      </c>
    </row>
    <row r="100" spans="1:7" x14ac:dyDescent="0.3">
      <c r="A100" s="3">
        <v>46209.927801588143</v>
      </c>
      <c r="B100" t="s">
        <v>11</v>
      </c>
      <c r="C100" t="s">
        <v>162</v>
      </c>
      <c r="D100">
        <v>18</v>
      </c>
      <c r="E100" t="s">
        <v>165</v>
      </c>
      <c r="F100" t="str">
        <f t="shared" si="4"/>
        <v>After 18:00</v>
      </c>
      <c r="G100">
        <f t="shared" si="5"/>
        <v>0</v>
      </c>
    </row>
    <row r="101" spans="1:7" x14ac:dyDescent="0.3">
      <c r="A101" s="3">
        <v>46210.963588033621</v>
      </c>
      <c r="B101" t="s">
        <v>13</v>
      </c>
      <c r="C101" t="s">
        <v>162</v>
      </c>
      <c r="D101">
        <v>22</v>
      </c>
      <c r="E101" t="s">
        <v>165</v>
      </c>
      <c r="F101" t="str">
        <f t="shared" si="4"/>
        <v>After 18:00</v>
      </c>
      <c r="G101">
        <f t="shared" si="5"/>
        <v>0</v>
      </c>
    </row>
  </sheetData>
  <autoFilter ref="A1:G1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E79F-7514-4841-A175-780377011C7C}">
  <dimension ref="A1:B7"/>
  <sheetViews>
    <sheetView workbookViewId="0">
      <selection activeCell="A8" sqref="A8"/>
    </sheetView>
  </sheetViews>
  <sheetFormatPr defaultRowHeight="14.4" x14ac:dyDescent="0.3"/>
  <cols>
    <col min="1" max="1" width="26.88671875" customWidth="1"/>
    <col min="2" max="2" width="90.5546875" customWidth="1"/>
  </cols>
  <sheetData>
    <row r="1" spans="1:2" ht="25.8" customHeight="1" x14ac:dyDescent="0.3">
      <c r="A1" s="39" t="s">
        <v>207</v>
      </c>
      <c r="B1" s="39" t="s">
        <v>208</v>
      </c>
    </row>
    <row r="2" spans="1:2" ht="18.600000000000001" customHeight="1" x14ac:dyDescent="0.3">
      <c r="A2" s="40" t="s">
        <v>209</v>
      </c>
      <c r="B2" s="41" t="s">
        <v>210</v>
      </c>
    </row>
    <row r="3" spans="1:2" x14ac:dyDescent="0.3">
      <c r="A3" s="40" t="s">
        <v>211</v>
      </c>
      <c r="B3" s="41" t="s">
        <v>212</v>
      </c>
    </row>
    <row r="4" spans="1:2" ht="18.600000000000001" customHeight="1" x14ac:dyDescent="0.3">
      <c r="A4" s="40" t="s">
        <v>213</v>
      </c>
      <c r="B4" s="41" t="s">
        <v>214</v>
      </c>
    </row>
    <row r="5" spans="1:2" ht="28.8" x14ac:dyDescent="0.3">
      <c r="A5" s="40" t="s">
        <v>215</v>
      </c>
      <c r="B5" s="42" t="s">
        <v>216</v>
      </c>
    </row>
    <row r="6" spans="1:2" ht="29.4" customHeight="1" x14ac:dyDescent="0.3">
      <c r="A6" s="40" t="s">
        <v>217</v>
      </c>
      <c r="B6" s="42" t="s">
        <v>218</v>
      </c>
    </row>
    <row r="7" spans="1:2" ht="30.6" customHeight="1" x14ac:dyDescent="0.3">
      <c r="A7" s="40" t="s">
        <v>219</v>
      </c>
      <c r="B7" s="42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D2CE-C726-4D2F-8E77-AB242B1B0676}">
  <dimension ref="A1:N27"/>
  <sheetViews>
    <sheetView tabSelected="1" workbookViewId="0">
      <selection activeCell="E23" sqref="E23"/>
    </sheetView>
  </sheetViews>
  <sheetFormatPr defaultRowHeight="14.4" x14ac:dyDescent="0.3"/>
  <cols>
    <col min="1" max="1" width="28.109375" customWidth="1"/>
    <col min="2" max="2" width="20.21875" customWidth="1"/>
    <col min="3" max="3" width="29.109375" customWidth="1"/>
  </cols>
  <sheetData>
    <row r="1" spans="1:14" ht="14.4" customHeight="1" x14ac:dyDescent="0.3">
      <c r="A1" s="49" t="s">
        <v>174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4.4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1:14" x14ac:dyDescent="0.3">
      <c r="A4" s="5" t="s">
        <v>173</v>
      </c>
      <c r="B4" s="6" t="s">
        <v>171</v>
      </c>
      <c r="C4" s="7" t="s">
        <v>172</v>
      </c>
    </row>
    <row r="5" spans="1:14" x14ac:dyDescent="0.3">
      <c r="A5" s="14" t="s">
        <v>43</v>
      </c>
      <c r="B5" s="15">
        <v>16</v>
      </c>
      <c r="C5" s="16">
        <f>B5/COUNTA(Lead_Data!$A$2:$A$101)</f>
        <v>0.16</v>
      </c>
    </row>
    <row r="6" spans="1:14" x14ac:dyDescent="0.3">
      <c r="A6" s="8" t="s">
        <v>58</v>
      </c>
      <c r="B6" s="9">
        <v>13</v>
      </c>
      <c r="C6" s="10">
        <f>B6/COUNTA(Lead_Data!$A$2:$A$101)</f>
        <v>0.13</v>
      </c>
    </row>
    <row r="7" spans="1:14" x14ac:dyDescent="0.3">
      <c r="A7" s="8" t="s">
        <v>50</v>
      </c>
      <c r="B7" s="9">
        <v>8</v>
      </c>
      <c r="C7" s="10">
        <f>B7/COUNTA(Lead_Data!$A$2:$A$101)</f>
        <v>0.08</v>
      </c>
    </row>
    <row r="8" spans="1:14" x14ac:dyDescent="0.3">
      <c r="A8" s="8" t="s">
        <v>70</v>
      </c>
      <c r="B8" s="9">
        <v>7</v>
      </c>
      <c r="C8" s="10">
        <f>B8/COUNTA(Lead_Data!$A$2:$A$101)</f>
        <v>7.0000000000000007E-2</v>
      </c>
    </row>
    <row r="9" spans="1:14" x14ac:dyDescent="0.3">
      <c r="A9" s="8" t="s">
        <v>46</v>
      </c>
      <c r="B9" s="9">
        <v>7</v>
      </c>
      <c r="C9" s="10">
        <f>B9/COUNTA(Lead_Data!$A$2:$A$101)</f>
        <v>7.0000000000000007E-2</v>
      </c>
    </row>
    <row r="10" spans="1:14" x14ac:dyDescent="0.3">
      <c r="A10" s="8" t="s">
        <v>33</v>
      </c>
      <c r="B10" s="9">
        <v>7</v>
      </c>
      <c r="C10" s="10">
        <f>B10/COUNTA(Lead_Data!$A$2:$A$101)</f>
        <v>7.0000000000000007E-2</v>
      </c>
    </row>
    <row r="11" spans="1:14" x14ac:dyDescent="0.3">
      <c r="A11" s="8" t="s">
        <v>72</v>
      </c>
      <c r="B11" s="9">
        <v>6</v>
      </c>
      <c r="C11" s="10">
        <f>B11/COUNTA(Lead_Data!$A$2:$A$101)</f>
        <v>0.06</v>
      </c>
    </row>
    <row r="12" spans="1:14" x14ac:dyDescent="0.3">
      <c r="A12" s="20" t="s">
        <v>36</v>
      </c>
      <c r="B12" s="21">
        <v>5</v>
      </c>
      <c r="C12" s="22">
        <f>B12/COUNTA(Lead_Data!$A$2:$A$101)</f>
        <v>0.05</v>
      </c>
    </row>
    <row r="13" spans="1:14" x14ac:dyDescent="0.3">
      <c r="A13" s="8" t="s">
        <v>29</v>
      </c>
      <c r="B13" s="9">
        <v>5</v>
      </c>
      <c r="C13" s="10">
        <f>B13/COUNTA(Lead_Data!$A$2:$A$101)</f>
        <v>0.05</v>
      </c>
    </row>
    <row r="14" spans="1:14" x14ac:dyDescent="0.3">
      <c r="A14" s="8" t="s">
        <v>66</v>
      </c>
      <c r="B14" s="9">
        <v>4</v>
      </c>
      <c r="C14" s="10">
        <f>B14/COUNTA(Lead_Data!$A$2:$A$101)</f>
        <v>0.04</v>
      </c>
    </row>
    <row r="15" spans="1:14" x14ac:dyDescent="0.3">
      <c r="A15" s="8" t="s">
        <v>87</v>
      </c>
      <c r="B15" s="9">
        <v>4</v>
      </c>
      <c r="C15" s="10">
        <f>B15/COUNTA(Lead_Data!$A$2:$A$101)</f>
        <v>0.04</v>
      </c>
    </row>
    <row r="16" spans="1:14" x14ac:dyDescent="0.3">
      <c r="A16" s="8" t="s">
        <v>54</v>
      </c>
      <c r="B16" s="9">
        <v>4</v>
      </c>
      <c r="C16" s="10">
        <f>B16/COUNTA(Lead_Data!$A$2:$A$101)</f>
        <v>0.04</v>
      </c>
    </row>
    <row r="17" spans="1:3" x14ac:dyDescent="0.3">
      <c r="A17" s="8" t="s">
        <v>170</v>
      </c>
      <c r="B17" s="9">
        <v>3</v>
      </c>
      <c r="C17" s="10">
        <f>B17/COUNTA(Lead_Data!$A$2:$A$101)</f>
        <v>0.03</v>
      </c>
    </row>
    <row r="18" spans="1:3" x14ac:dyDescent="0.3">
      <c r="A18" s="8" t="s">
        <v>39</v>
      </c>
      <c r="B18" s="9">
        <v>3</v>
      </c>
      <c r="C18" s="10">
        <f>B18/COUNTA(Lead_Data!$A$2:$A$101)</f>
        <v>0.03</v>
      </c>
    </row>
    <row r="19" spans="1:3" x14ac:dyDescent="0.3">
      <c r="A19" s="8" t="s">
        <v>115</v>
      </c>
      <c r="B19" s="9">
        <v>3</v>
      </c>
      <c r="C19" s="10">
        <f>B19/COUNTA(Lead_Data!$A$2:$A$101)</f>
        <v>0.03</v>
      </c>
    </row>
    <row r="20" spans="1:3" x14ac:dyDescent="0.3">
      <c r="A20" s="8" t="s">
        <v>82</v>
      </c>
      <c r="B20" s="9">
        <v>3</v>
      </c>
      <c r="C20" s="10">
        <f>B20/COUNTA(Lead_Data!$A$2:$A$101)</f>
        <v>0.03</v>
      </c>
    </row>
    <row r="21" spans="1:3" x14ac:dyDescent="0.3">
      <c r="A21" s="11" t="s">
        <v>117</v>
      </c>
      <c r="B21" s="12">
        <v>2</v>
      </c>
      <c r="C21" s="13">
        <f>B21/COUNTA(Lead_Data!$A$2:$A$101)</f>
        <v>0.02</v>
      </c>
    </row>
    <row r="22" spans="1:3" x14ac:dyDescent="0.3">
      <c r="C22" s="4"/>
    </row>
    <row r="23" spans="1:3" x14ac:dyDescent="0.3">
      <c r="A23" s="17" t="s">
        <v>175</v>
      </c>
      <c r="B23" s="17" t="s">
        <v>176</v>
      </c>
      <c r="C23" s="17" t="s">
        <v>177</v>
      </c>
    </row>
    <row r="24" spans="1:3" ht="28.8" x14ac:dyDescent="0.3">
      <c r="A24" s="18" t="s">
        <v>178</v>
      </c>
      <c r="B24" s="23" t="s">
        <v>43</v>
      </c>
      <c r="C24" s="26" t="s">
        <v>180</v>
      </c>
    </row>
    <row r="25" spans="1:3" ht="49.8" customHeight="1" x14ac:dyDescent="0.3">
      <c r="A25" s="18" t="s">
        <v>179</v>
      </c>
      <c r="B25" s="23" t="s">
        <v>181</v>
      </c>
      <c r="C25" s="26" t="s">
        <v>182</v>
      </c>
    </row>
    <row r="26" spans="1:3" ht="57.6" x14ac:dyDescent="0.3">
      <c r="A26" s="18" t="s">
        <v>185</v>
      </c>
      <c r="B26" s="25" t="s">
        <v>183</v>
      </c>
      <c r="C26" s="26" t="s">
        <v>184</v>
      </c>
    </row>
    <row r="27" spans="1:3" x14ac:dyDescent="0.3">
      <c r="B27" s="24"/>
      <c r="C27" s="19"/>
    </row>
  </sheetData>
  <mergeCells count="1">
    <mergeCell ref="A1:N2"/>
  </mergeCells>
  <conditionalFormatting sqref="B5:B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{DD884141-EBF9-4AA7-A3B7-0C0EAB2EC323}</x14:id>
        </ext>
      </extLs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884141-EBF9-4AA7-A3B7-0C0EAB2EC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353A-EA3C-40C5-96ED-3769769B06FF}">
  <dimension ref="A1:H25"/>
  <sheetViews>
    <sheetView workbookViewId="0">
      <selection activeCell="A25" sqref="A25:C25"/>
    </sheetView>
  </sheetViews>
  <sheetFormatPr defaultRowHeight="14.4" x14ac:dyDescent="0.3"/>
  <cols>
    <col min="1" max="1" width="25" customWidth="1"/>
    <col min="2" max="2" width="17.33203125" customWidth="1"/>
    <col min="3" max="3" width="23.6640625" customWidth="1"/>
    <col min="4" max="4" width="22.5546875" customWidth="1"/>
    <col min="6" max="6" width="19.88671875" customWidth="1"/>
    <col min="7" max="7" width="18.21875" customWidth="1"/>
    <col min="8" max="8" width="22.44140625" customWidth="1"/>
  </cols>
  <sheetData>
    <row r="1" spans="1:8" ht="14.4" customHeight="1" x14ac:dyDescent="0.3">
      <c r="A1" s="50" t="s">
        <v>193</v>
      </c>
      <c r="B1" s="50"/>
      <c r="C1" s="50"/>
      <c r="D1" s="50"/>
      <c r="E1" s="50"/>
      <c r="F1" s="50"/>
      <c r="G1" s="50"/>
      <c r="H1" s="50"/>
    </row>
    <row r="2" spans="1:8" ht="14.4" customHeight="1" x14ac:dyDescent="0.3">
      <c r="A2" s="50"/>
      <c r="B2" s="50"/>
      <c r="C2" s="50"/>
      <c r="D2" s="50"/>
      <c r="E2" s="50"/>
      <c r="F2" s="50"/>
      <c r="G2" s="50"/>
      <c r="H2" s="50"/>
    </row>
    <row r="3" spans="1:8" ht="14.4" customHeight="1" x14ac:dyDescent="0.3"/>
    <row r="4" spans="1:8" ht="15.6" x14ac:dyDescent="0.3">
      <c r="A4" s="54" t="s">
        <v>192</v>
      </c>
      <c r="B4" s="54"/>
      <c r="C4" s="54"/>
      <c r="D4" s="54"/>
      <c r="F4" s="59" t="s">
        <v>206</v>
      </c>
      <c r="G4" s="59"/>
      <c r="H4" s="59"/>
    </row>
    <row r="5" spans="1:8" x14ac:dyDescent="0.3">
      <c r="A5" s="35" t="s">
        <v>188</v>
      </c>
      <c r="B5" s="36" t="s">
        <v>189</v>
      </c>
      <c r="C5" s="36" t="s">
        <v>190</v>
      </c>
      <c r="D5" s="37" t="s">
        <v>191</v>
      </c>
      <c r="F5" s="38" t="s">
        <v>169</v>
      </c>
      <c r="G5" s="38" t="s">
        <v>201</v>
      </c>
      <c r="H5" s="38" t="s">
        <v>202</v>
      </c>
    </row>
    <row r="6" spans="1:8" x14ac:dyDescent="0.3">
      <c r="A6" s="8" t="s">
        <v>40</v>
      </c>
      <c r="B6" s="9">
        <v>41</v>
      </c>
      <c r="C6" s="9">
        <v>12</v>
      </c>
      <c r="D6" s="10">
        <v>0.29268292682926828</v>
      </c>
      <c r="F6" s="9" t="s">
        <v>163</v>
      </c>
      <c r="G6" s="9">
        <f>COUNTIF(Call_Log!$E$2:$E$101,F6)</f>
        <v>60</v>
      </c>
      <c r="H6" s="30">
        <f>G6/COUNTA(Call_Log!$E$2:$E$101)</f>
        <v>0.6</v>
      </c>
    </row>
    <row r="7" spans="1:8" x14ac:dyDescent="0.3">
      <c r="A7" s="8" t="s">
        <v>44</v>
      </c>
      <c r="B7" s="9">
        <v>12</v>
      </c>
      <c r="C7" s="9">
        <v>2</v>
      </c>
      <c r="D7" s="10">
        <v>0.16666666666666666</v>
      </c>
      <c r="F7" s="9" t="s">
        <v>166</v>
      </c>
      <c r="G7" s="9">
        <f>COUNTIF(Call_Log!$E$2:$E$101,F7)</f>
        <v>10</v>
      </c>
      <c r="H7" s="30">
        <f>G7/COUNTA(Call_Log!$E$2:$E$101)</f>
        <v>0.1</v>
      </c>
    </row>
    <row r="8" spans="1:8" x14ac:dyDescent="0.3">
      <c r="A8" s="8" t="s">
        <v>30</v>
      </c>
      <c r="B8" s="9">
        <v>30</v>
      </c>
      <c r="C8" s="9">
        <v>2</v>
      </c>
      <c r="D8" s="10">
        <v>6.6666666666666666E-2</v>
      </c>
      <c r="F8" s="9" t="s">
        <v>168</v>
      </c>
      <c r="G8" s="9">
        <f>COUNTIF(Call_Log!$E$2:$E$101,F8)</f>
        <v>3</v>
      </c>
      <c r="H8" s="30">
        <f>G8/COUNTA(Call_Log!$E$2:$E$101)</f>
        <v>0.03</v>
      </c>
    </row>
    <row r="9" spans="1:8" x14ac:dyDescent="0.3">
      <c r="A9" s="8" t="s">
        <v>60</v>
      </c>
      <c r="B9" s="9">
        <v>12</v>
      </c>
      <c r="C9" s="9">
        <v>0</v>
      </c>
      <c r="D9" s="27">
        <v>0</v>
      </c>
      <c r="F9" s="9" t="s">
        <v>167</v>
      </c>
      <c r="G9" s="9">
        <f>COUNTIF(Call_Log!$E$2:$E$101,F9)</f>
        <v>4</v>
      </c>
      <c r="H9" s="30">
        <f>G9/COUNTA(Call_Log!$E$2:$E$101)</f>
        <v>0.04</v>
      </c>
    </row>
    <row r="10" spans="1:8" x14ac:dyDescent="0.3">
      <c r="A10" s="11" t="s">
        <v>34</v>
      </c>
      <c r="B10" s="12">
        <v>5</v>
      </c>
      <c r="C10" s="12">
        <v>0</v>
      </c>
      <c r="D10" s="28">
        <v>0</v>
      </c>
      <c r="F10" s="9" t="s">
        <v>165</v>
      </c>
      <c r="G10" s="9">
        <f>COUNTIF(Call_Log!$E$2:$E$101,F10)</f>
        <v>23</v>
      </c>
      <c r="H10" s="30">
        <f>G10/COUNTA(Call_Log!$E$2:$E$101)</f>
        <v>0.23</v>
      </c>
    </row>
    <row r="12" spans="1:8" x14ac:dyDescent="0.3">
      <c r="A12" s="55" t="s">
        <v>286</v>
      </c>
      <c r="B12" s="55"/>
      <c r="C12" s="55"/>
      <c r="D12" s="55"/>
      <c r="F12" s="17" t="s">
        <v>203</v>
      </c>
      <c r="G12" s="17" t="s">
        <v>176</v>
      </c>
      <c r="H12" s="17" t="s">
        <v>177</v>
      </c>
    </row>
    <row r="13" spans="1:8" ht="45" customHeight="1" x14ac:dyDescent="0.3">
      <c r="A13" s="56" t="s">
        <v>194</v>
      </c>
      <c r="B13" s="56"/>
      <c r="C13" s="56"/>
      <c r="D13" s="56"/>
      <c r="F13" s="34" t="s">
        <v>204</v>
      </c>
      <c r="G13" s="32">
        <f>1-H6</f>
        <v>0.4</v>
      </c>
      <c r="H13" s="33" t="s">
        <v>205</v>
      </c>
    </row>
    <row r="15" spans="1:8" ht="46.2" customHeight="1" x14ac:dyDescent="0.3">
      <c r="F15" s="57" t="s">
        <v>287</v>
      </c>
      <c r="G15" s="58"/>
      <c r="H15" s="58"/>
    </row>
    <row r="16" spans="1:8" ht="15.6" x14ac:dyDescent="0.3">
      <c r="A16" s="51" t="s">
        <v>196</v>
      </c>
      <c r="B16" s="51"/>
      <c r="C16" s="51"/>
    </row>
    <row r="17" spans="1:3" x14ac:dyDescent="0.3">
      <c r="A17" s="38" t="s">
        <v>27</v>
      </c>
      <c r="B17" s="38" t="s">
        <v>195</v>
      </c>
      <c r="C17" s="38" t="s">
        <v>191</v>
      </c>
    </row>
    <row r="18" spans="1:3" x14ac:dyDescent="0.3">
      <c r="A18" s="9" t="s">
        <v>37</v>
      </c>
      <c r="B18" s="9">
        <v>28</v>
      </c>
      <c r="C18" s="30">
        <f>SUMIF(Lead_Data!$G$2:$G$101,'Task-2 Segmentation'!A18,Lead_Data!$H$2:$H$101)/B18</f>
        <v>0.10714285714285714</v>
      </c>
    </row>
    <row r="19" spans="1:3" x14ac:dyDescent="0.3">
      <c r="A19" s="9" t="s">
        <v>31</v>
      </c>
      <c r="B19" s="9">
        <v>28</v>
      </c>
      <c r="C19" s="30">
        <f>SUMIF(Lead_Data!$G$2:$G$101,'Task-2 Segmentation'!A19,Lead_Data!$H$2:$H$101)/B19</f>
        <v>0.14285714285714285</v>
      </c>
    </row>
    <row r="20" spans="1:3" x14ac:dyDescent="0.3">
      <c r="A20" s="9" t="s">
        <v>41</v>
      </c>
      <c r="B20" s="9">
        <v>23</v>
      </c>
      <c r="C20" s="30">
        <f>SUMIF(Lead_Data!$G$2:$G$101,'Task-2 Segmentation'!A20,Lead_Data!$H$2:$H$101)/B20</f>
        <v>0.17391304347826086</v>
      </c>
    </row>
    <row r="21" spans="1:3" x14ac:dyDescent="0.3">
      <c r="A21" s="9" t="s">
        <v>55</v>
      </c>
      <c r="B21" s="9">
        <v>11</v>
      </c>
      <c r="C21" s="30">
        <f>SUMIF(Lead_Data!$G$2:$G$101,'Task-2 Segmentation'!A21,Lead_Data!$H$2:$H$101)/B21</f>
        <v>0.27272727272727271</v>
      </c>
    </row>
    <row r="22" spans="1:3" x14ac:dyDescent="0.3">
      <c r="A22" s="9" t="s">
        <v>47</v>
      </c>
      <c r="B22" s="9">
        <v>10</v>
      </c>
      <c r="C22" s="30">
        <f>SUMIF(Lead_Data!$G$2:$G$101,'Task-2 Segmentation'!A22,Lead_Data!$H$2:$H$101)/B22</f>
        <v>0.2</v>
      </c>
    </row>
    <row r="24" spans="1:3" x14ac:dyDescent="0.3">
      <c r="A24" s="52" t="s">
        <v>286</v>
      </c>
      <c r="B24" s="52"/>
      <c r="C24" s="52"/>
    </row>
    <row r="25" spans="1:3" ht="43.8" customHeight="1" x14ac:dyDescent="0.3">
      <c r="A25" s="53" t="s">
        <v>197</v>
      </c>
      <c r="B25" s="53"/>
      <c r="C25" s="53"/>
    </row>
  </sheetData>
  <sortState xmlns:xlrd2="http://schemas.microsoft.com/office/spreadsheetml/2017/richdata2" ref="B18:C22">
    <sortCondition descending="1" ref="B18:B22"/>
  </sortState>
  <mergeCells count="9">
    <mergeCell ref="A1:H2"/>
    <mergeCell ref="A16:C16"/>
    <mergeCell ref="A24:C24"/>
    <mergeCell ref="A25:C25"/>
    <mergeCell ref="A4:D4"/>
    <mergeCell ref="A12:D12"/>
    <mergeCell ref="A13:D13"/>
    <mergeCell ref="F15:H15"/>
    <mergeCell ref="F4:H4"/>
  </mergeCells>
  <conditionalFormatting sqref="C18:C22">
    <cfRule type="colorScale" priority="1">
      <colorScale>
        <cfvo type="min"/>
        <cfvo type="max"/>
        <color rgb="FFFCFCFF"/>
        <color rgb="FF63BE7B"/>
      </colorScale>
    </cfRule>
  </conditionalFormatting>
  <conditionalFormatting sqref="D6:D1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1585-80FF-4309-88BF-9DEB69250A01}">
  <dimension ref="A1:I28"/>
  <sheetViews>
    <sheetView workbookViewId="0">
      <selection activeCell="D19" sqref="D19"/>
    </sheetView>
  </sheetViews>
  <sheetFormatPr defaultRowHeight="14.4" x14ac:dyDescent="0.3"/>
  <cols>
    <col min="1" max="1" width="30.77734375" bestFit="1" customWidth="1"/>
    <col min="2" max="2" width="18.109375" bestFit="1" customWidth="1"/>
    <col min="3" max="3" width="15.5546875" customWidth="1"/>
    <col min="4" max="4" width="41.6640625" bestFit="1" customWidth="1"/>
    <col min="5" max="5" width="9.77734375" customWidth="1"/>
    <col min="6" max="6" width="15" customWidth="1"/>
    <col min="7" max="7" width="18.21875" bestFit="1" customWidth="1"/>
    <col min="8" max="8" width="20.5546875" bestFit="1" customWidth="1"/>
    <col min="9" max="9" width="15.77734375" customWidth="1"/>
  </cols>
  <sheetData>
    <row r="1" spans="1:9" ht="14.4" customHeight="1" x14ac:dyDescent="0.3">
      <c r="A1" s="50" t="s">
        <v>221</v>
      </c>
      <c r="B1" s="50"/>
      <c r="C1" s="50"/>
      <c r="D1" s="50"/>
      <c r="E1" s="50"/>
      <c r="F1" s="50"/>
      <c r="G1" s="50"/>
      <c r="H1" s="50"/>
      <c r="I1" s="50"/>
    </row>
    <row r="2" spans="1:9" ht="14.4" customHeight="1" x14ac:dyDescent="0.3">
      <c r="A2" s="50"/>
      <c r="B2" s="50"/>
      <c r="C2" s="50"/>
      <c r="D2" s="50"/>
      <c r="E2" s="50"/>
      <c r="F2" s="50"/>
      <c r="G2" s="50"/>
      <c r="H2" s="50"/>
      <c r="I2" s="50"/>
    </row>
    <row r="4" spans="1:9" ht="15.6" x14ac:dyDescent="0.3">
      <c r="A4" s="64" t="s">
        <v>233</v>
      </c>
      <c r="B4" s="64"/>
      <c r="C4" s="64"/>
      <c r="D4" s="64"/>
      <c r="F4" s="64" t="s">
        <v>234</v>
      </c>
      <c r="G4" s="64"/>
      <c r="H4" s="64"/>
      <c r="I4" s="64"/>
    </row>
    <row r="5" spans="1:9" x14ac:dyDescent="0.3">
      <c r="A5" s="45" t="s">
        <v>232</v>
      </c>
      <c r="B5" s="45" t="s">
        <v>195</v>
      </c>
      <c r="C5" s="45" t="s">
        <v>231</v>
      </c>
      <c r="D5" s="45" t="s">
        <v>230</v>
      </c>
      <c r="F5" s="29" t="s">
        <v>169</v>
      </c>
      <c r="G5" s="29" t="s">
        <v>239</v>
      </c>
      <c r="H5" s="29" t="s">
        <v>240</v>
      </c>
      <c r="I5" s="29" t="s">
        <v>241</v>
      </c>
    </row>
    <row r="6" spans="1:9" x14ac:dyDescent="0.3">
      <c r="A6" s="9" t="s">
        <v>224</v>
      </c>
      <c r="B6" s="9">
        <v>44</v>
      </c>
      <c r="C6" s="9">
        <v>10</v>
      </c>
      <c r="D6" s="30">
        <v>0.22727272727272727</v>
      </c>
      <c r="F6" s="9" t="s">
        <v>238</v>
      </c>
      <c r="G6" s="9">
        <v>30</v>
      </c>
      <c r="H6" s="9">
        <v>15</v>
      </c>
      <c r="I6" s="30">
        <f>H6/G6</f>
        <v>0.5</v>
      </c>
    </row>
    <row r="7" spans="1:9" x14ac:dyDescent="0.3">
      <c r="A7" s="9" t="s">
        <v>226</v>
      </c>
      <c r="B7" s="9">
        <v>34</v>
      </c>
      <c r="C7" s="9">
        <v>4</v>
      </c>
      <c r="D7" s="30">
        <v>0.11764705882352941</v>
      </c>
      <c r="F7" s="9" t="s">
        <v>235</v>
      </c>
      <c r="G7" s="9">
        <v>32</v>
      </c>
      <c r="H7" s="9">
        <v>27</v>
      </c>
      <c r="I7" s="30">
        <f t="shared" ref="I7:I9" si="0">H7/G7</f>
        <v>0.84375</v>
      </c>
    </row>
    <row r="8" spans="1:9" x14ac:dyDescent="0.3">
      <c r="A8" s="9" t="s">
        <v>227</v>
      </c>
      <c r="B8" s="9">
        <v>17</v>
      </c>
      <c r="C8" s="9">
        <v>2</v>
      </c>
      <c r="D8" s="30">
        <v>0.11764705882352941</v>
      </c>
      <c r="F8" s="9" t="s">
        <v>236</v>
      </c>
      <c r="G8" s="9">
        <v>21</v>
      </c>
      <c r="H8" s="9">
        <v>11</v>
      </c>
      <c r="I8" s="30">
        <f t="shared" si="0"/>
        <v>0.52380952380952384</v>
      </c>
    </row>
    <row r="9" spans="1:9" x14ac:dyDescent="0.3">
      <c r="A9" s="9" t="s">
        <v>225</v>
      </c>
      <c r="B9" s="9">
        <v>4</v>
      </c>
      <c r="C9" s="9">
        <v>0</v>
      </c>
      <c r="D9" s="30">
        <v>0</v>
      </c>
      <c r="F9" s="9" t="s">
        <v>237</v>
      </c>
      <c r="G9" s="9">
        <v>17</v>
      </c>
      <c r="H9" s="9">
        <v>7</v>
      </c>
      <c r="I9" s="30">
        <f t="shared" si="0"/>
        <v>0.41176470588235292</v>
      </c>
    </row>
    <row r="10" spans="1:9" x14ac:dyDescent="0.3">
      <c r="A10" s="9" t="s">
        <v>228</v>
      </c>
      <c r="B10" s="9">
        <v>1</v>
      </c>
      <c r="C10" s="9">
        <v>0</v>
      </c>
      <c r="D10" s="30">
        <v>0</v>
      </c>
      <c r="I10" s="4"/>
    </row>
    <row r="11" spans="1:9" ht="14.4" customHeight="1" x14ac:dyDescent="0.3">
      <c r="D11" s="4"/>
    </row>
    <row r="12" spans="1:9" ht="43.8" customHeight="1" x14ac:dyDescent="0.3">
      <c r="A12" s="63" t="s">
        <v>243</v>
      </c>
      <c r="B12" s="63"/>
      <c r="C12" s="63"/>
      <c r="D12" s="63"/>
      <c r="F12" s="60" t="s">
        <v>242</v>
      </c>
      <c r="G12" s="60"/>
      <c r="H12" s="60"/>
      <c r="I12" s="60"/>
    </row>
    <row r="16" spans="1:9" ht="15.6" x14ac:dyDescent="0.3">
      <c r="A16" s="61" t="s">
        <v>244</v>
      </c>
      <c r="B16" s="61"/>
      <c r="C16" s="61"/>
    </row>
    <row r="17" spans="1:5" x14ac:dyDescent="0.3">
      <c r="A17" s="45" t="s">
        <v>245</v>
      </c>
      <c r="B17" s="45" t="s">
        <v>190</v>
      </c>
      <c r="C17" s="45" t="s">
        <v>191</v>
      </c>
    </row>
    <row r="18" spans="1:5" x14ac:dyDescent="0.3">
      <c r="A18" s="9" t="s">
        <v>4</v>
      </c>
      <c r="B18" s="9">
        <v>15</v>
      </c>
      <c r="C18" s="30">
        <f>B18/SUM($B$18:$B$20)</f>
        <v>0.9375</v>
      </c>
    </row>
    <row r="19" spans="1:5" x14ac:dyDescent="0.3">
      <c r="A19" s="9" t="s">
        <v>17</v>
      </c>
      <c r="B19" s="9">
        <v>1</v>
      </c>
      <c r="C19" s="46">
        <f t="shared" ref="C19:C20" si="1">B19/SUM($B$18:$B$20)</f>
        <v>6.25E-2</v>
      </c>
    </row>
    <row r="20" spans="1:5" x14ac:dyDescent="0.3">
      <c r="A20" s="9" t="s">
        <v>19</v>
      </c>
      <c r="B20" s="9">
        <v>0</v>
      </c>
      <c r="C20" s="30">
        <f t="shared" si="1"/>
        <v>0</v>
      </c>
    </row>
    <row r="22" spans="1:5" x14ac:dyDescent="0.3">
      <c r="A22" s="17" t="s">
        <v>203</v>
      </c>
      <c r="B22" s="17" t="s">
        <v>246</v>
      </c>
      <c r="C22" s="17" t="s">
        <v>247</v>
      </c>
      <c r="D22" s="17" t="s">
        <v>248</v>
      </c>
    </row>
    <row r="23" spans="1:5" x14ac:dyDescent="0.3">
      <c r="A23" s="9" t="s">
        <v>190</v>
      </c>
      <c r="B23" s="9">
        <f>SUM(Lead_Data!$H$2:$H$101)</f>
        <v>16</v>
      </c>
      <c r="C23" s="30">
        <f>B23/$B$23</f>
        <v>1</v>
      </c>
      <c r="D23" s="9" t="s">
        <v>252</v>
      </c>
    </row>
    <row r="24" spans="1:5" x14ac:dyDescent="0.3">
      <c r="A24" s="9" t="s">
        <v>249</v>
      </c>
      <c r="B24" s="9">
        <f>COUNTIFS(Lead_Data!$H$2:$H$101,1,Lead_Data!$I$2:$I$101,"Sales")</f>
        <v>1</v>
      </c>
      <c r="C24" s="30">
        <f t="shared" ref="C24:C25" si="2">B24/$B$23</f>
        <v>6.25E-2</v>
      </c>
      <c r="D24" s="9" t="s">
        <v>253</v>
      </c>
    </row>
    <row r="25" spans="1:5" x14ac:dyDescent="0.3">
      <c r="A25" s="9" t="s">
        <v>250</v>
      </c>
      <c r="B25" s="9">
        <f>COUNTIFS(Lead_Data!$H$2:$H$101,1,Lead_Data!$I$2:$I$101,"&lt;&gt;Sales")</f>
        <v>15</v>
      </c>
      <c r="C25" s="30">
        <f t="shared" si="2"/>
        <v>0.9375</v>
      </c>
      <c r="D25" s="9" t="s">
        <v>254</v>
      </c>
    </row>
    <row r="26" spans="1:5" x14ac:dyDescent="0.3">
      <c r="E26" s="4"/>
    </row>
    <row r="27" spans="1:5" ht="28.8" customHeight="1" x14ac:dyDescent="0.3">
      <c r="A27" s="62" t="s">
        <v>251</v>
      </c>
      <c r="B27" s="62"/>
      <c r="C27" s="62"/>
      <c r="D27" s="62"/>
      <c r="E27" s="4"/>
    </row>
    <row r="28" spans="1:5" x14ac:dyDescent="0.3">
      <c r="E28" s="4"/>
    </row>
  </sheetData>
  <sortState xmlns:xlrd2="http://schemas.microsoft.com/office/spreadsheetml/2017/richdata2" ref="F5:H9">
    <sortCondition ref="F6" customList="Before 12:00,12:00-15:00,15:00-18:00,After 18:00"/>
  </sortState>
  <mergeCells count="7">
    <mergeCell ref="A1:I2"/>
    <mergeCell ref="F12:I12"/>
    <mergeCell ref="A16:C16"/>
    <mergeCell ref="A27:D27"/>
    <mergeCell ref="A12:D12"/>
    <mergeCell ref="A4:D4"/>
    <mergeCell ref="F4:I4"/>
  </mergeCells>
  <conditionalFormatting sqref="C18:C20">
    <cfRule type="colorScale" priority="2">
      <colorScale>
        <cfvo type="min"/>
        <cfvo type="max"/>
        <color rgb="FFFCFCFF"/>
        <color rgb="FF63BE7B"/>
      </colorScale>
    </cfRule>
  </conditionalFormatting>
  <conditionalFormatting sqref="C23:C2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{99990686-3707-407E-806B-F3A83068AF12}</x14:id>
        </ext>
      </extLst>
    </cfRule>
  </conditionalFormatting>
  <conditionalFormatting sqref="D6:D10">
    <cfRule type="colorScale" priority="5">
      <colorScale>
        <cfvo type="min"/>
        <cfvo type="max"/>
        <color rgb="FFFCFCFF"/>
        <color rgb="FF63BE7B"/>
      </colorScale>
    </cfRule>
  </conditionalFormatting>
  <conditionalFormatting sqref="I6:I9">
    <cfRule type="colorScale" priority="3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990686-3707-407E-806B-F3A83068A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C23:C25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AA5D-ABE0-4224-AC46-18CFCFB55A02}">
  <dimension ref="A1:L21"/>
  <sheetViews>
    <sheetView zoomScaleNormal="100" workbookViewId="0">
      <selection activeCell="A3" sqref="A3"/>
    </sheetView>
  </sheetViews>
  <sheetFormatPr defaultColWidth="9.33203125" defaultRowHeight="14.4" x14ac:dyDescent="0.3"/>
  <cols>
    <col min="2" max="2" width="17.77734375" bestFit="1" customWidth="1"/>
    <col min="5" max="5" width="10.77734375" customWidth="1"/>
    <col min="6" max="6" width="11.44140625" customWidth="1"/>
    <col min="8" max="8" width="12.6640625" customWidth="1"/>
    <col min="9" max="9" width="4.44140625" customWidth="1"/>
    <col min="10" max="10" width="5.6640625" customWidth="1"/>
    <col min="11" max="11" width="12.77734375" customWidth="1"/>
    <col min="12" max="12" width="23" customWidth="1"/>
  </cols>
  <sheetData>
    <row r="1" spans="1:12" x14ac:dyDescent="0.3">
      <c r="A1" s="71" t="s">
        <v>288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x14ac:dyDescent="0.3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4" spans="1:12" ht="22.2" customHeight="1" x14ac:dyDescent="0.3">
      <c r="A4" s="72" t="s">
        <v>255</v>
      </c>
      <c r="B4" s="72"/>
      <c r="C4" s="72"/>
      <c r="D4" s="72" t="s">
        <v>256</v>
      </c>
      <c r="E4" s="72"/>
      <c r="F4" s="72"/>
      <c r="G4" s="72" t="s">
        <v>191</v>
      </c>
      <c r="H4" s="72"/>
      <c r="I4" s="72"/>
      <c r="J4" s="72" t="s">
        <v>280</v>
      </c>
      <c r="K4" s="72"/>
      <c r="L4" s="72"/>
    </row>
    <row r="5" spans="1:12" x14ac:dyDescent="0.3">
      <c r="A5" s="68">
        <f>COUNTA(Lead_Data!A2:A101)</f>
        <v>100</v>
      </c>
      <c r="B5" s="68"/>
      <c r="C5" s="68"/>
      <c r="D5" s="68">
        <f>SUM(Lead_Data!H2:H101)</f>
        <v>16</v>
      </c>
      <c r="E5" s="68"/>
      <c r="F5" s="68"/>
      <c r="G5" s="69">
        <f>D5/A5</f>
        <v>0.16</v>
      </c>
      <c r="H5" s="69"/>
      <c r="I5" s="69"/>
      <c r="J5" s="70">
        <f>'Task-2 Segmentation'!G13</f>
        <v>0.4</v>
      </c>
      <c r="K5" s="70"/>
      <c r="L5" s="70"/>
    </row>
    <row r="6" spans="1:12" x14ac:dyDescent="0.3">
      <c r="A6" s="68"/>
      <c r="B6" s="68"/>
      <c r="C6" s="68"/>
      <c r="D6" s="68"/>
      <c r="E6" s="68"/>
      <c r="F6" s="68"/>
      <c r="G6" s="69"/>
      <c r="H6" s="69"/>
      <c r="I6" s="69"/>
      <c r="J6" s="70"/>
      <c r="K6" s="70"/>
      <c r="L6" s="70"/>
    </row>
    <row r="7" spans="1:12" x14ac:dyDescent="0.3">
      <c r="A7" s="68"/>
      <c r="B7" s="68"/>
      <c r="C7" s="68"/>
      <c r="D7" s="68"/>
      <c r="E7" s="68"/>
      <c r="F7" s="68"/>
      <c r="G7" s="69"/>
      <c r="H7" s="69"/>
      <c r="I7" s="69"/>
      <c r="J7" s="70"/>
      <c r="K7" s="70"/>
      <c r="L7" s="70"/>
    </row>
    <row r="9" spans="1:12" ht="15.6" x14ac:dyDescent="0.3">
      <c r="A9" s="64" t="s">
        <v>257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1:12" ht="30" customHeight="1" x14ac:dyDescent="0.3">
      <c r="A10" s="47">
        <v>1</v>
      </c>
      <c r="B10" s="48" t="s">
        <v>258</v>
      </c>
      <c r="C10" s="67" t="s">
        <v>281</v>
      </c>
      <c r="D10" s="67"/>
      <c r="E10" s="67"/>
      <c r="F10" s="67"/>
      <c r="G10" s="67"/>
      <c r="H10" s="67"/>
      <c r="I10" s="67"/>
      <c r="J10" s="67"/>
      <c r="K10" s="67"/>
      <c r="L10" s="67"/>
    </row>
    <row r="11" spans="1:12" ht="27.6" customHeight="1" x14ac:dyDescent="0.3">
      <c r="A11" s="47">
        <v>2</v>
      </c>
      <c r="B11" s="48" t="s">
        <v>259</v>
      </c>
      <c r="C11" s="67" t="s">
        <v>263</v>
      </c>
      <c r="D11" s="67"/>
      <c r="E11" s="67"/>
      <c r="F11" s="67"/>
      <c r="G11" s="67"/>
      <c r="H11" s="67"/>
      <c r="I11" s="67"/>
      <c r="J11" s="67"/>
      <c r="K11" s="67"/>
      <c r="L11" s="67"/>
    </row>
    <row r="12" spans="1:12" ht="27.6" customHeight="1" x14ac:dyDescent="0.3">
      <c r="A12" s="47">
        <v>3</v>
      </c>
      <c r="B12" s="48" t="s">
        <v>261</v>
      </c>
      <c r="C12" s="65" t="s">
        <v>264</v>
      </c>
      <c r="D12" s="65"/>
      <c r="E12" s="65"/>
      <c r="F12" s="65"/>
      <c r="G12" s="65"/>
      <c r="H12" s="65"/>
      <c r="I12" s="65"/>
      <c r="J12" s="65"/>
      <c r="K12" s="65"/>
      <c r="L12" s="65"/>
    </row>
    <row r="13" spans="1:12" ht="27" customHeight="1" x14ac:dyDescent="0.3">
      <c r="A13" s="47">
        <v>4</v>
      </c>
      <c r="B13" s="48" t="s">
        <v>260</v>
      </c>
      <c r="C13" s="65" t="s">
        <v>282</v>
      </c>
      <c r="D13" s="65"/>
      <c r="E13" s="65"/>
      <c r="F13" s="65"/>
      <c r="G13" s="65"/>
      <c r="H13" s="65"/>
      <c r="I13" s="65"/>
      <c r="J13" s="65"/>
      <c r="K13" s="65"/>
      <c r="L13" s="65"/>
    </row>
    <row r="14" spans="1:12" ht="25.8" customHeight="1" x14ac:dyDescent="0.3">
      <c r="A14" s="47">
        <v>5</v>
      </c>
      <c r="B14" s="48" t="s">
        <v>262</v>
      </c>
      <c r="C14" s="65" t="s">
        <v>283</v>
      </c>
      <c r="D14" s="65"/>
      <c r="E14" s="65"/>
      <c r="F14" s="65"/>
      <c r="G14" s="65"/>
      <c r="H14" s="65"/>
      <c r="I14" s="65"/>
      <c r="J14" s="65"/>
      <c r="K14" s="65"/>
      <c r="L14" s="65"/>
    </row>
    <row r="17" spans="1:12" ht="15.6" x14ac:dyDescent="0.3">
      <c r="A17" s="64" t="s">
        <v>265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</row>
    <row r="18" spans="1:12" x14ac:dyDescent="0.3">
      <c r="A18" s="31" t="s">
        <v>266</v>
      </c>
      <c r="B18" s="66" t="s">
        <v>267</v>
      </c>
      <c r="C18" s="66" t="s">
        <v>268</v>
      </c>
      <c r="D18" s="66" t="s">
        <v>269</v>
      </c>
      <c r="E18" s="66"/>
      <c r="F18" s="66"/>
      <c r="G18" s="66" t="s">
        <v>23</v>
      </c>
      <c r="H18" s="66"/>
      <c r="I18" s="66"/>
      <c r="J18" s="66" t="s">
        <v>269</v>
      </c>
      <c r="K18" s="66"/>
      <c r="L18" s="66"/>
    </row>
    <row r="19" spans="1:12" ht="33.6" customHeight="1" x14ac:dyDescent="0.3">
      <c r="A19" s="47">
        <v>1</v>
      </c>
      <c r="B19" s="65" t="s">
        <v>276</v>
      </c>
      <c r="C19" s="65" t="s">
        <v>270</v>
      </c>
      <c r="D19" s="65" t="s">
        <v>271</v>
      </c>
      <c r="E19" s="65"/>
      <c r="F19" s="65"/>
      <c r="G19" s="65" t="s">
        <v>277</v>
      </c>
      <c r="H19" s="65"/>
      <c r="I19" s="65"/>
      <c r="J19" s="65" t="s">
        <v>271</v>
      </c>
      <c r="K19" s="65"/>
      <c r="L19" s="65"/>
    </row>
    <row r="20" spans="1:12" ht="33" customHeight="1" x14ac:dyDescent="0.3">
      <c r="A20" s="47">
        <v>2</v>
      </c>
      <c r="B20" s="65" t="s">
        <v>284</v>
      </c>
      <c r="C20" s="65" t="s">
        <v>272</v>
      </c>
      <c r="D20" s="65" t="s">
        <v>273</v>
      </c>
      <c r="E20" s="65"/>
      <c r="F20" s="65"/>
      <c r="G20" s="65" t="s">
        <v>278</v>
      </c>
      <c r="H20" s="65"/>
      <c r="I20" s="65"/>
      <c r="J20" s="65" t="s">
        <v>273</v>
      </c>
      <c r="K20" s="65"/>
      <c r="L20" s="65"/>
    </row>
    <row r="21" spans="1:12" ht="49.2" customHeight="1" x14ac:dyDescent="0.3">
      <c r="A21" s="47">
        <v>3</v>
      </c>
      <c r="B21" s="65" t="s">
        <v>285</v>
      </c>
      <c r="C21" s="65" t="s">
        <v>274</v>
      </c>
      <c r="D21" s="65" t="s">
        <v>275</v>
      </c>
      <c r="E21" s="65"/>
      <c r="F21" s="65"/>
      <c r="G21" s="65" t="s">
        <v>279</v>
      </c>
      <c r="H21" s="65"/>
      <c r="I21" s="65"/>
      <c r="J21" s="65" t="s">
        <v>275</v>
      </c>
      <c r="K21" s="65"/>
      <c r="L21" s="65"/>
    </row>
  </sheetData>
  <mergeCells count="28">
    <mergeCell ref="A1:L2"/>
    <mergeCell ref="A4:C4"/>
    <mergeCell ref="D4:F4"/>
    <mergeCell ref="G4:I4"/>
    <mergeCell ref="J4:L4"/>
    <mergeCell ref="A5:C7"/>
    <mergeCell ref="D5:F7"/>
    <mergeCell ref="G5:I7"/>
    <mergeCell ref="J5:L7"/>
    <mergeCell ref="A9:L9"/>
    <mergeCell ref="C10:L10"/>
    <mergeCell ref="C11:L11"/>
    <mergeCell ref="C12:L12"/>
    <mergeCell ref="C13:L13"/>
    <mergeCell ref="C14:L14"/>
    <mergeCell ref="A17:L17"/>
    <mergeCell ref="B18:F18"/>
    <mergeCell ref="G18:I18"/>
    <mergeCell ref="J18:L18"/>
    <mergeCell ref="J19:L19"/>
    <mergeCell ref="B19:F19"/>
    <mergeCell ref="G19:I19"/>
    <mergeCell ref="B20:F20"/>
    <mergeCell ref="G20:I20"/>
    <mergeCell ref="J20:L20"/>
    <mergeCell ref="B21:F21"/>
    <mergeCell ref="G21:I21"/>
    <mergeCell ref="J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Lead_Data</vt:lpstr>
      <vt:lpstr>Team_Legend</vt:lpstr>
      <vt:lpstr>Lead_Timestamps</vt:lpstr>
      <vt:lpstr>Call_Log</vt:lpstr>
      <vt:lpstr>ReadMe</vt:lpstr>
      <vt:lpstr>Task-1 Funnel</vt:lpstr>
      <vt:lpstr>Task-2 Segmentation</vt:lpstr>
      <vt:lpstr>Additional Insights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kashish agrawal</cp:lastModifiedBy>
  <dcterms:created xsi:type="dcterms:W3CDTF">2026-07-08T08:18:34Z</dcterms:created>
  <dcterms:modified xsi:type="dcterms:W3CDTF">2026-07-18T04:04:26Z</dcterms:modified>
</cp:coreProperties>
</file>